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samrana/Desktop/"/>
    </mc:Choice>
  </mc:AlternateContent>
  <xr:revisionPtr revIDLastSave="0" documentId="8_{E2A1A14D-0C7A-8A41-AC26-5F0392242436}" xr6:coauthVersionLast="47" xr6:coauthVersionMax="47" xr10:uidLastSave="{00000000-0000-0000-0000-000000000000}"/>
  <bookViews>
    <workbookView xWindow="0" yWindow="660" windowWidth="34560" windowHeight="21680" xr2:uid="{90F8BC12-A370-C44E-9E32-70084DD815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80" i="1"/>
  <c r="L77" i="1"/>
  <c r="L74" i="1"/>
  <c r="L71" i="1"/>
  <c r="L68" i="1"/>
  <c r="L65" i="1"/>
  <c r="L62" i="1"/>
  <c r="L59" i="1"/>
  <c r="L56" i="1"/>
  <c r="M53" i="1"/>
  <c r="M37" i="1"/>
  <c r="M32" i="1"/>
  <c r="L25" i="1"/>
  <c r="L22" i="1"/>
  <c r="L19" i="1"/>
  <c r="L16" i="1"/>
  <c r="L13" i="1"/>
  <c r="L10" i="1"/>
  <c r="L7" i="1"/>
</calcChain>
</file>

<file path=xl/sharedStrings.xml><?xml version="1.0" encoding="utf-8"?>
<sst xmlns="http://schemas.openxmlformats.org/spreadsheetml/2006/main" count="1316" uniqueCount="255">
  <si>
    <t>Movie_ID</t>
  </si>
  <si>
    <t>Title</t>
  </si>
  <si>
    <t>Genre</t>
  </si>
  <si>
    <t>Year</t>
  </si>
  <si>
    <t>Runtime</t>
  </si>
  <si>
    <t>Rating</t>
  </si>
  <si>
    <t>Votes</t>
  </si>
  <si>
    <t>Revenue</t>
  </si>
  <si>
    <t>Country</t>
  </si>
  <si>
    <t>Movie_1</t>
  </si>
  <si>
    <t>Thriller</t>
  </si>
  <si>
    <t>France</t>
  </si>
  <si>
    <t>Movie_2</t>
  </si>
  <si>
    <t>Romance</t>
  </si>
  <si>
    <t>What is the average movie rating</t>
  </si>
  <si>
    <t>Movie_3</t>
  </si>
  <si>
    <t>Comedy</t>
  </si>
  <si>
    <t>UK</t>
  </si>
  <si>
    <t>Movie_4</t>
  </si>
  <si>
    <t>Japan</t>
  </si>
  <si>
    <t>Movie_5</t>
  </si>
  <si>
    <t>India</t>
  </si>
  <si>
    <t>Highest Movie rating?</t>
  </si>
  <si>
    <t>Movie_6</t>
  </si>
  <si>
    <t>Drama</t>
  </si>
  <si>
    <t>Movie_7</t>
  </si>
  <si>
    <t>Movie_8</t>
  </si>
  <si>
    <t>Total Movies with ratings?</t>
  </si>
  <si>
    <t>Movie_9</t>
  </si>
  <si>
    <t>Movie_10</t>
  </si>
  <si>
    <t>USA</t>
  </si>
  <si>
    <t>Movie_11</t>
  </si>
  <si>
    <t>How many Action movies?</t>
  </si>
  <si>
    <t>Movie_12</t>
  </si>
  <si>
    <t>Movie_13</t>
  </si>
  <si>
    <t>Movie_14</t>
  </si>
  <si>
    <t>Total revenue?</t>
  </si>
  <si>
    <t>Movie_15</t>
  </si>
  <si>
    <t>Movie_16</t>
  </si>
  <si>
    <t>Movie_17</t>
  </si>
  <si>
    <t>Revenue from Comedy movies?</t>
  </si>
  <si>
    <t>Movie_18</t>
  </si>
  <si>
    <t>Movie_19</t>
  </si>
  <si>
    <t>Action</t>
  </si>
  <si>
    <t>Movie_20</t>
  </si>
  <si>
    <t>Average action movie rating?</t>
  </si>
  <si>
    <t>Movie_21</t>
  </si>
  <si>
    <t xml:space="preserve">Drama </t>
  </si>
  <si>
    <t>Movie_23</t>
  </si>
  <si>
    <t>Movie_24</t>
  </si>
  <si>
    <t>Classify movies as Hit or Average</t>
  </si>
  <si>
    <t>Movie_25</t>
  </si>
  <si>
    <t>Movie_27</t>
  </si>
  <si>
    <t>Movie_28</t>
  </si>
  <si>
    <t>Movie_29</t>
  </si>
  <si>
    <t xml:space="preserve">Find the genre of the Movie ID entered in M31 </t>
  </si>
  <si>
    <t>Movie_30</t>
  </si>
  <si>
    <t>Movie_31</t>
  </si>
  <si>
    <t>Movie_32</t>
  </si>
  <si>
    <t>Movie ID</t>
  </si>
  <si>
    <t>Movie_33</t>
  </si>
  <si>
    <t>Movie_34</t>
  </si>
  <si>
    <t>Movie_35</t>
  </si>
  <si>
    <t>Find the rating of Movie ID 104</t>
  </si>
  <si>
    <t>Movie_36</t>
  </si>
  <si>
    <t>Movie_37</t>
  </si>
  <si>
    <t>Movie_38</t>
  </si>
  <si>
    <t>Movie_39</t>
  </si>
  <si>
    <t>Movie_40</t>
  </si>
  <si>
    <t>Movie_41</t>
  </si>
  <si>
    <t>Movie_42</t>
  </si>
  <si>
    <t>Movie_43</t>
  </si>
  <si>
    <t>Movie_44</t>
  </si>
  <si>
    <t>Movie_45</t>
  </si>
  <si>
    <t>Movie_46</t>
  </si>
  <si>
    <t>Movie_47</t>
  </si>
  <si>
    <t>Movie_49</t>
  </si>
  <si>
    <t>Movie_50</t>
  </si>
  <si>
    <t>Movie_51</t>
  </si>
  <si>
    <t>Movie_52</t>
  </si>
  <si>
    <t>Movie_54</t>
  </si>
  <si>
    <t>Movie_55</t>
  </si>
  <si>
    <t>Movie_56</t>
  </si>
  <si>
    <t>Movie_57</t>
  </si>
  <si>
    <t>Movie_58</t>
  </si>
  <si>
    <t>Movie_60</t>
  </si>
  <si>
    <t>Movie_61</t>
  </si>
  <si>
    <t>Movie_63</t>
  </si>
  <si>
    <t>Movie_64</t>
  </si>
  <si>
    <t>Movie_65</t>
  </si>
  <si>
    <t>Movie_66</t>
  </si>
  <si>
    <t>Movie_67</t>
  </si>
  <si>
    <t>Movie_68</t>
  </si>
  <si>
    <t>Movie_70</t>
  </si>
  <si>
    <t>Movie_71</t>
  </si>
  <si>
    <t>Movie_72</t>
  </si>
  <si>
    <t>Movie_73</t>
  </si>
  <si>
    <t>Movie_74</t>
  </si>
  <si>
    <t>Movie_75</t>
  </si>
  <si>
    <t>Movie_77</t>
  </si>
  <si>
    <t>Movie_78</t>
  </si>
  <si>
    <t>Movie_79</t>
  </si>
  <si>
    <t>Movie_80</t>
  </si>
  <si>
    <t>Movie_82</t>
  </si>
  <si>
    <t>Movie_83</t>
  </si>
  <si>
    <t>Movie_84</t>
  </si>
  <si>
    <t>Movie_85</t>
  </si>
  <si>
    <t>Movie_86</t>
  </si>
  <si>
    <t>Movie_87</t>
  </si>
  <si>
    <t>Movie_90</t>
  </si>
  <si>
    <t>Movie_91</t>
  </si>
  <si>
    <t>Movie_92</t>
  </si>
  <si>
    <t>Movie_93</t>
  </si>
  <si>
    <t>Movie_95</t>
  </si>
  <si>
    <t>Movie_96</t>
  </si>
  <si>
    <t>Movie_97</t>
  </si>
  <si>
    <t>Movie_98</t>
  </si>
  <si>
    <t>Movie_99</t>
  </si>
  <si>
    <t>Movie_101</t>
  </si>
  <si>
    <t>Movie_102</t>
  </si>
  <si>
    <t>Movie_104</t>
  </si>
  <si>
    <t>Movie_105</t>
  </si>
  <si>
    <t>Movie_106</t>
  </si>
  <si>
    <t>Movie_108</t>
  </si>
  <si>
    <t>Movie_109</t>
  </si>
  <si>
    <t>Movie_110</t>
  </si>
  <si>
    <t>Movie_112</t>
  </si>
  <si>
    <t>Movie_113</t>
  </si>
  <si>
    <t>Movie_114</t>
  </si>
  <si>
    <t>Movie_115</t>
  </si>
  <si>
    <t>Movie_116</t>
  </si>
  <si>
    <t>Movie_117</t>
  </si>
  <si>
    <t>Movie_118</t>
  </si>
  <si>
    <t>Movie_119</t>
  </si>
  <si>
    <t>Movie_121</t>
  </si>
  <si>
    <t>Movie_122</t>
  </si>
  <si>
    <t>Movie_123</t>
  </si>
  <si>
    <t>Movie_124</t>
  </si>
  <si>
    <t>Movie_125</t>
  </si>
  <si>
    <t>Movie_126</t>
  </si>
  <si>
    <t>Movie_127</t>
  </si>
  <si>
    <t>Movie_128</t>
  </si>
  <si>
    <t>Movie_129</t>
  </si>
  <si>
    <t>Movie_130</t>
  </si>
  <si>
    <t>Movie_131</t>
  </si>
  <si>
    <t>Movie_132</t>
  </si>
  <si>
    <t>Movie_134</t>
  </si>
  <si>
    <t>Movie_135</t>
  </si>
  <si>
    <t>Movie_136</t>
  </si>
  <si>
    <t>Movie_137</t>
  </si>
  <si>
    <t>Movie_139</t>
  </si>
  <si>
    <t>Movie_140</t>
  </si>
  <si>
    <t>Movie_141</t>
  </si>
  <si>
    <t>Movie_142</t>
  </si>
  <si>
    <t>Movie_143</t>
  </si>
  <si>
    <t>Movie_144</t>
  </si>
  <si>
    <t>Movie_145</t>
  </si>
  <si>
    <t>Movie_146</t>
  </si>
  <si>
    <t>Movie_148</t>
  </si>
  <si>
    <t>Movie_149</t>
  </si>
  <si>
    <t>Movie_150</t>
  </si>
  <si>
    <t>Movie_151</t>
  </si>
  <si>
    <t>Movie_152</t>
  </si>
  <si>
    <t>Movie_157</t>
  </si>
  <si>
    <t>Movie_158</t>
  </si>
  <si>
    <t>Movie_159</t>
  </si>
  <si>
    <t>Movie_160</t>
  </si>
  <si>
    <t>Movie_161</t>
  </si>
  <si>
    <t>Movie_162</t>
  </si>
  <si>
    <t>Movie_163</t>
  </si>
  <si>
    <t>Movie_164</t>
  </si>
  <si>
    <t>Movie_165</t>
  </si>
  <si>
    <t>Movie_166</t>
  </si>
  <si>
    <t>Movie_167</t>
  </si>
  <si>
    <t>Movie_168</t>
  </si>
  <si>
    <t>Movie_169</t>
  </si>
  <si>
    <t>Movie_170</t>
  </si>
  <si>
    <t>Movie_174</t>
  </si>
  <si>
    <t>Movie_175</t>
  </si>
  <si>
    <t>Movie_176</t>
  </si>
  <si>
    <t>Movie_177</t>
  </si>
  <si>
    <t>Movie_178</t>
  </si>
  <si>
    <t>Movie_179</t>
  </si>
  <si>
    <t>Movie_180</t>
  </si>
  <si>
    <t>Movie_182</t>
  </si>
  <si>
    <t>Movie_184</t>
  </si>
  <si>
    <t>Movie_185</t>
  </si>
  <si>
    <t>Movie_186</t>
  </si>
  <si>
    <t>Movie_187</t>
  </si>
  <si>
    <t>Movie_188</t>
  </si>
  <si>
    <t>Movie_189</t>
  </si>
  <si>
    <t>Movie_191</t>
  </si>
  <si>
    <t>Movie_193</t>
  </si>
  <si>
    <t>Movie_194</t>
  </si>
  <si>
    <t>Movie_196</t>
  </si>
  <si>
    <t>Movie_197</t>
  </si>
  <si>
    <t>Movie_198</t>
  </si>
  <si>
    <t>Movie_200</t>
  </si>
  <si>
    <t>Movie_201</t>
  </si>
  <si>
    <t>Movie_202</t>
  </si>
  <si>
    <t>Movie_203</t>
  </si>
  <si>
    <t>Movie_204</t>
  </si>
  <si>
    <t>Movie_205</t>
  </si>
  <si>
    <t>Movie_206</t>
  </si>
  <si>
    <t>Movie_209</t>
  </si>
  <si>
    <t>Movie_210</t>
  </si>
  <si>
    <t>Movie_211</t>
  </si>
  <si>
    <t>Movie_212</t>
  </si>
  <si>
    <t>Movie_213</t>
  </si>
  <si>
    <t>Movie_214</t>
  </si>
  <si>
    <t>Movie_215</t>
  </si>
  <si>
    <t>Movie_217</t>
  </si>
  <si>
    <t>Movie_218</t>
  </si>
  <si>
    <t>Movie_219</t>
  </si>
  <si>
    <t>Movie_220</t>
  </si>
  <si>
    <t>Movie_221</t>
  </si>
  <si>
    <t>Movie_222</t>
  </si>
  <si>
    <t>Movie_223</t>
  </si>
  <si>
    <t>Movie_224</t>
  </si>
  <si>
    <t>Movie_225</t>
  </si>
  <si>
    <t>Movie_226</t>
  </si>
  <si>
    <t>Movie_227</t>
  </si>
  <si>
    <t>Movie_228</t>
  </si>
  <si>
    <t>Movie_229</t>
  </si>
  <si>
    <t>Movie_230</t>
  </si>
  <si>
    <t>Movie_231</t>
  </si>
  <si>
    <t>Movie_232</t>
  </si>
  <si>
    <t>Movie_233</t>
  </si>
  <si>
    <t>Movie_234</t>
  </si>
  <si>
    <t>Movie_235</t>
  </si>
  <si>
    <t>Movie_236</t>
  </si>
  <si>
    <t>Movie_238</t>
  </si>
  <si>
    <t>Movie_239</t>
  </si>
  <si>
    <t>Movie_240</t>
  </si>
  <si>
    <t>Movie_241</t>
  </si>
  <si>
    <t>Movie_242</t>
  </si>
  <si>
    <t>Movie_243</t>
  </si>
  <si>
    <t>Movie_244</t>
  </si>
  <si>
    <t>Movie_245</t>
  </si>
  <si>
    <t>Movie_246</t>
  </si>
  <si>
    <t>Movie_247</t>
  </si>
  <si>
    <t>Movie_248</t>
  </si>
  <si>
    <t>Movie_249</t>
  </si>
  <si>
    <t xml:space="preserve">drama </t>
  </si>
  <si>
    <t>Find the movie name for Movie ID 110</t>
  </si>
  <si>
    <t xml:space="preserve">Genre </t>
  </si>
  <si>
    <t>Count Drama movies released after 2020</t>
  </si>
  <si>
    <t>Find the revenue of the 10th Movie</t>
  </si>
  <si>
    <t>Find the rating of Movie_20</t>
  </si>
  <si>
    <t>Calculate the average rating of all Action movies</t>
  </si>
  <si>
    <t>Find the average revenue of movies released in 2020</t>
  </si>
  <si>
    <t>Find the release year of Movie_28</t>
  </si>
  <si>
    <t>Total votes for Action Movies</t>
  </si>
  <si>
    <t>Calculate the total revenue of movies released in 2020</t>
  </si>
  <si>
    <t>Count the movies with a rating greater than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</si>
</sst>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0" xfId="0" applyFont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AE27F-4BE9-DA4D-A814-3289732B2BFF}">
  <dimension ref="A1:HP213"/>
  <sheetViews>
    <sheetView tabSelected="1" workbookViewId="0">
      <selection activeCell="L5" sqref="L5"/>
    </sheetView>
  </sheetViews>
  <sheetFormatPr baseColWidth="10" defaultRowHeight="21" x14ac:dyDescent="0.25"/>
  <cols>
    <col min="11" max="11" width="10.83203125" style="2"/>
    <col min="12" max="12" width="58" style="2" customWidth="1"/>
    <col min="13" max="13" width="10.83203125" style="2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x14ac:dyDescent="0.25">
      <c r="A2" s="3">
        <v>1</v>
      </c>
      <c r="B2" s="3" t="s">
        <v>9</v>
      </c>
      <c r="C2" s="3" t="s">
        <v>10</v>
      </c>
      <c r="D2" s="3">
        <v>2016</v>
      </c>
      <c r="E2" s="3">
        <v>147</v>
      </c>
      <c r="F2" s="3">
        <v>6.6</v>
      </c>
      <c r="G2" s="3">
        <v>76416</v>
      </c>
      <c r="H2" s="3">
        <v>0</v>
      </c>
      <c r="I2" s="3" t="s">
        <v>11</v>
      </c>
    </row>
    <row r="3" spans="1:12" x14ac:dyDescent="0.25">
      <c r="A3" s="3">
        <v>2</v>
      </c>
      <c r="B3" s="3" t="s">
        <v>12</v>
      </c>
      <c r="C3" s="3" t="s">
        <v>13</v>
      </c>
      <c r="D3" s="3">
        <v>2007</v>
      </c>
      <c r="E3" s="3">
        <v>137</v>
      </c>
      <c r="F3" s="3">
        <v>4.4000000000000004</v>
      </c>
      <c r="G3" s="3">
        <v>73819</v>
      </c>
      <c r="H3" s="3">
        <v>251.21</v>
      </c>
      <c r="I3" s="3" t="s">
        <v>11</v>
      </c>
      <c r="K3" s="2">
        <v>1</v>
      </c>
      <c r="L3" s="2" t="s">
        <v>14</v>
      </c>
    </row>
    <row r="4" spans="1:12" x14ac:dyDescent="0.25">
      <c r="A4" s="3">
        <v>3</v>
      </c>
      <c r="B4" s="3" t="s">
        <v>15</v>
      </c>
      <c r="C4" s="3" t="s">
        <v>16</v>
      </c>
      <c r="D4" s="3">
        <v>2003</v>
      </c>
      <c r="E4" s="3">
        <v>154</v>
      </c>
      <c r="F4" s="3">
        <v>7</v>
      </c>
      <c r="G4" s="3">
        <v>17868</v>
      </c>
      <c r="H4" s="3">
        <v>131.44</v>
      </c>
      <c r="I4" s="3" t="s">
        <v>17</v>
      </c>
      <c r="L4" s="2">
        <f>AVERAGE(F2:F213)</f>
        <v>4.9542452830188681</v>
      </c>
    </row>
    <row r="5" spans="1:12" x14ac:dyDescent="0.25">
      <c r="A5" s="3">
        <v>4</v>
      </c>
      <c r="B5" s="3" t="s">
        <v>18</v>
      </c>
      <c r="C5" s="3" t="s">
        <v>13</v>
      </c>
      <c r="D5" s="3">
        <v>2005</v>
      </c>
      <c r="E5" s="3">
        <v>108</v>
      </c>
      <c r="F5" s="3">
        <v>6.7</v>
      </c>
      <c r="G5" s="3">
        <v>15828</v>
      </c>
      <c r="H5" s="3">
        <v>274.7</v>
      </c>
      <c r="I5" s="3" t="s">
        <v>19</v>
      </c>
    </row>
    <row r="6" spans="1:12" x14ac:dyDescent="0.25">
      <c r="A6" s="3">
        <v>5</v>
      </c>
      <c r="B6" s="3" t="s">
        <v>20</v>
      </c>
      <c r="C6" s="3" t="s">
        <v>13</v>
      </c>
      <c r="D6" s="3">
        <v>2007</v>
      </c>
      <c r="E6" s="3">
        <v>115</v>
      </c>
      <c r="F6" s="3">
        <v>5.0999999999999996</v>
      </c>
      <c r="G6" s="3">
        <v>57442</v>
      </c>
      <c r="H6" s="3">
        <v>216.6</v>
      </c>
      <c r="I6" s="3" t="s">
        <v>21</v>
      </c>
      <c r="K6" s="2">
        <v>2</v>
      </c>
      <c r="L6" s="2" t="s">
        <v>22</v>
      </c>
    </row>
    <row r="7" spans="1:12" x14ac:dyDescent="0.25">
      <c r="A7" s="3">
        <v>6</v>
      </c>
      <c r="B7" s="3" t="s">
        <v>23</v>
      </c>
      <c r="C7" s="3" t="s">
        <v>24</v>
      </c>
      <c r="D7" s="3">
        <v>2019</v>
      </c>
      <c r="E7" s="3">
        <v>168</v>
      </c>
      <c r="F7" s="3">
        <v>0</v>
      </c>
      <c r="G7" s="3">
        <v>92251</v>
      </c>
      <c r="H7" s="3">
        <v>183.32</v>
      </c>
      <c r="I7" s="3" t="s">
        <v>19</v>
      </c>
      <c r="L7" s="2">
        <f>MAX(F2:F213)</f>
        <v>8.9</v>
      </c>
    </row>
    <row r="8" spans="1:12" x14ac:dyDescent="0.25">
      <c r="A8" s="3">
        <v>7</v>
      </c>
      <c r="B8" s="3" t="s">
        <v>25</v>
      </c>
      <c r="C8" s="3" t="s">
        <v>16</v>
      </c>
      <c r="D8" s="3">
        <v>2002</v>
      </c>
      <c r="E8" s="3">
        <v>100</v>
      </c>
      <c r="F8" s="3">
        <v>7</v>
      </c>
      <c r="G8" s="3">
        <v>99631</v>
      </c>
      <c r="H8" s="3">
        <v>284.82</v>
      </c>
      <c r="I8" s="3" t="s">
        <v>17</v>
      </c>
    </row>
    <row r="9" spans="1:12" x14ac:dyDescent="0.25">
      <c r="A9" s="3">
        <v>8</v>
      </c>
      <c r="B9" s="3" t="s">
        <v>26</v>
      </c>
      <c r="C9" s="3" t="s">
        <v>16</v>
      </c>
      <c r="D9" s="3">
        <v>2015</v>
      </c>
      <c r="E9" s="3">
        <v>115</v>
      </c>
      <c r="F9" s="3">
        <v>6.1</v>
      </c>
      <c r="G9" s="3">
        <v>27806</v>
      </c>
      <c r="H9" s="3">
        <v>119.3</v>
      </c>
      <c r="I9" s="3" t="s">
        <v>17</v>
      </c>
      <c r="K9" s="2">
        <v>3</v>
      </c>
      <c r="L9" s="2" t="s">
        <v>27</v>
      </c>
    </row>
    <row r="10" spans="1:12" x14ac:dyDescent="0.25">
      <c r="A10" s="3">
        <v>9</v>
      </c>
      <c r="B10" s="3" t="s">
        <v>28</v>
      </c>
      <c r="C10" s="3" t="s">
        <v>16</v>
      </c>
      <c r="D10" s="3">
        <v>2002</v>
      </c>
      <c r="E10" s="3">
        <v>89</v>
      </c>
      <c r="F10" s="3">
        <v>7.6</v>
      </c>
      <c r="G10" s="3">
        <v>85951</v>
      </c>
      <c r="H10" s="3">
        <v>286.25</v>
      </c>
      <c r="I10" s="3" t="s">
        <v>17</v>
      </c>
      <c r="L10" s="2">
        <f>COUNT(F2:F213)</f>
        <v>212</v>
      </c>
    </row>
    <row r="11" spans="1:12" x14ac:dyDescent="0.25">
      <c r="A11" s="3">
        <v>10</v>
      </c>
      <c r="B11" s="3" t="s">
        <v>29</v>
      </c>
      <c r="C11" s="3" t="s">
        <v>13</v>
      </c>
      <c r="D11" s="3">
        <v>2017</v>
      </c>
      <c r="E11" s="3">
        <v>152</v>
      </c>
      <c r="F11" s="3">
        <v>6.1</v>
      </c>
      <c r="G11" s="3">
        <v>40415</v>
      </c>
      <c r="H11" s="3">
        <v>40.93</v>
      </c>
      <c r="I11" s="3" t="s">
        <v>30</v>
      </c>
    </row>
    <row r="12" spans="1:12" x14ac:dyDescent="0.25">
      <c r="A12" s="3">
        <v>11</v>
      </c>
      <c r="B12" s="3" t="s">
        <v>31</v>
      </c>
      <c r="C12" s="3" t="s">
        <v>10</v>
      </c>
      <c r="D12" s="3">
        <v>2013</v>
      </c>
      <c r="E12" s="3">
        <v>103</v>
      </c>
      <c r="F12" s="3">
        <v>8.1</v>
      </c>
      <c r="G12" s="3">
        <v>37719</v>
      </c>
      <c r="H12" s="3">
        <v>9999.99</v>
      </c>
      <c r="I12" s="3" t="s">
        <v>19</v>
      </c>
      <c r="K12" s="2">
        <v>4</v>
      </c>
      <c r="L12" s="2" t="s">
        <v>32</v>
      </c>
    </row>
    <row r="13" spans="1:12" x14ac:dyDescent="0.25">
      <c r="A13" s="3">
        <v>12</v>
      </c>
      <c r="B13" s="3" t="s">
        <v>33</v>
      </c>
      <c r="C13" s="3" t="s">
        <v>16</v>
      </c>
      <c r="D13" s="3">
        <v>2017</v>
      </c>
      <c r="E13" s="3">
        <v>143</v>
      </c>
      <c r="F13" s="3">
        <v>6.3</v>
      </c>
      <c r="G13" s="3">
        <v>81379</v>
      </c>
      <c r="H13" s="3">
        <v>81.34</v>
      </c>
      <c r="I13" s="3" t="s">
        <v>19</v>
      </c>
      <c r="L13" s="2">
        <f>COUNTIF(C2:C213,"Action")</f>
        <v>45</v>
      </c>
    </row>
    <row r="14" spans="1:12" x14ac:dyDescent="0.25">
      <c r="A14" s="3">
        <v>13</v>
      </c>
      <c r="B14" s="3" t="s">
        <v>34</v>
      </c>
      <c r="C14" s="3" t="s">
        <v>13</v>
      </c>
      <c r="D14" s="3">
        <v>2001</v>
      </c>
      <c r="E14" s="3">
        <v>178</v>
      </c>
      <c r="F14" s="3">
        <v>6.4</v>
      </c>
      <c r="G14" s="3">
        <v>65144</v>
      </c>
      <c r="H14" s="3">
        <v>162.18</v>
      </c>
      <c r="I14" s="3" t="s">
        <v>11</v>
      </c>
    </row>
    <row r="15" spans="1:12" x14ac:dyDescent="0.25">
      <c r="A15" s="3">
        <v>14</v>
      </c>
      <c r="B15" s="3" t="s">
        <v>35</v>
      </c>
      <c r="C15" s="3" t="s">
        <v>24</v>
      </c>
      <c r="D15" s="3">
        <v>2021</v>
      </c>
      <c r="E15" s="3">
        <v>128</v>
      </c>
      <c r="F15" s="3">
        <v>0</v>
      </c>
      <c r="G15" s="3">
        <v>60779</v>
      </c>
      <c r="H15" s="3">
        <v>49.02</v>
      </c>
      <c r="I15" s="3" t="s">
        <v>11</v>
      </c>
      <c r="K15" s="2">
        <v>5</v>
      </c>
      <c r="L15" s="2" t="s">
        <v>36</v>
      </c>
    </row>
    <row r="16" spans="1:12" x14ac:dyDescent="0.25">
      <c r="A16" s="3">
        <v>15</v>
      </c>
      <c r="B16" s="3" t="s">
        <v>37</v>
      </c>
      <c r="C16" s="3" t="s">
        <v>10</v>
      </c>
      <c r="D16" s="3">
        <v>2002</v>
      </c>
      <c r="E16" s="3">
        <v>178</v>
      </c>
      <c r="F16" s="3">
        <v>5.4</v>
      </c>
      <c r="G16" s="3">
        <v>53528</v>
      </c>
      <c r="H16" s="3">
        <v>252.54</v>
      </c>
      <c r="I16" s="3" t="s">
        <v>11</v>
      </c>
      <c r="L16" s="2">
        <f>SUM(H2:H213)</f>
        <v>42121.890000000021</v>
      </c>
    </row>
    <row r="17" spans="1:13" x14ac:dyDescent="0.25">
      <c r="A17" s="3">
        <v>16</v>
      </c>
      <c r="B17" s="3" t="s">
        <v>38</v>
      </c>
      <c r="C17" s="3" t="s">
        <v>24</v>
      </c>
      <c r="D17" s="3">
        <v>2015</v>
      </c>
      <c r="E17" s="3">
        <v>115</v>
      </c>
      <c r="F17" s="3">
        <v>3.8</v>
      </c>
      <c r="G17" s="3">
        <v>626</v>
      </c>
      <c r="H17" s="3">
        <v>254</v>
      </c>
      <c r="I17" s="3" t="s">
        <v>17</v>
      </c>
    </row>
    <row r="18" spans="1:13" x14ac:dyDescent="0.25">
      <c r="A18" s="3">
        <v>17</v>
      </c>
      <c r="B18" s="3" t="s">
        <v>39</v>
      </c>
      <c r="C18" s="3" t="s">
        <v>10</v>
      </c>
      <c r="D18" s="3">
        <v>2008</v>
      </c>
      <c r="E18" s="3">
        <v>161</v>
      </c>
      <c r="F18" s="3">
        <v>0</v>
      </c>
      <c r="G18" s="3">
        <v>52829</v>
      </c>
      <c r="H18" s="3">
        <v>286.58999999999997</v>
      </c>
      <c r="I18" s="3" t="s">
        <v>19</v>
      </c>
      <c r="K18" s="2">
        <v>6</v>
      </c>
      <c r="L18" s="2" t="s">
        <v>40</v>
      </c>
    </row>
    <row r="19" spans="1:13" x14ac:dyDescent="0.25">
      <c r="A19" s="3">
        <v>18</v>
      </c>
      <c r="B19" s="3" t="s">
        <v>41</v>
      </c>
      <c r="C19" s="3" t="s">
        <v>13</v>
      </c>
      <c r="D19" s="3">
        <v>2003</v>
      </c>
      <c r="E19" s="3">
        <v>175</v>
      </c>
      <c r="F19" s="3">
        <v>7.5</v>
      </c>
      <c r="G19" s="3">
        <v>28132</v>
      </c>
      <c r="H19" s="3">
        <v>46.82</v>
      </c>
      <c r="I19" s="3" t="s">
        <v>17</v>
      </c>
      <c r="L19" s="2">
        <f>SUMIF(C2:C213,"Comedy",H2:H213)</f>
        <v>6680.2999999999993</v>
      </c>
    </row>
    <row r="20" spans="1:13" x14ac:dyDescent="0.25">
      <c r="A20" s="3">
        <v>19</v>
      </c>
      <c r="B20" s="3" t="s">
        <v>42</v>
      </c>
      <c r="C20" s="3" t="s">
        <v>43</v>
      </c>
      <c r="D20" s="3">
        <v>2000</v>
      </c>
      <c r="E20" s="3">
        <v>103</v>
      </c>
      <c r="F20" s="3">
        <v>6.7</v>
      </c>
      <c r="G20" s="3">
        <v>65810</v>
      </c>
      <c r="H20" s="3">
        <v>187.19</v>
      </c>
      <c r="I20" s="3" t="s">
        <v>30</v>
      </c>
    </row>
    <row r="21" spans="1:13" x14ac:dyDescent="0.25">
      <c r="A21" s="3">
        <v>20</v>
      </c>
      <c r="B21" s="3" t="s">
        <v>44</v>
      </c>
      <c r="C21" s="3" t="s">
        <v>10</v>
      </c>
      <c r="D21" s="3">
        <v>2003</v>
      </c>
      <c r="E21" s="3">
        <v>102</v>
      </c>
      <c r="F21" s="3">
        <v>7.2</v>
      </c>
      <c r="G21" s="3">
        <v>55676</v>
      </c>
      <c r="H21" s="3">
        <v>142.53</v>
      </c>
      <c r="I21" s="3" t="s">
        <v>11</v>
      </c>
      <c r="K21" s="2">
        <v>7</v>
      </c>
      <c r="L21" s="2" t="s">
        <v>45</v>
      </c>
    </row>
    <row r="22" spans="1:13" x14ac:dyDescent="0.25">
      <c r="A22" s="3">
        <v>21</v>
      </c>
      <c r="B22" s="3" t="s">
        <v>46</v>
      </c>
      <c r="C22" s="3" t="s">
        <v>47</v>
      </c>
      <c r="D22" s="3">
        <v>2000</v>
      </c>
      <c r="E22" s="3">
        <v>141</v>
      </c>
      <c r="F22" s="3">
        <v>4.3</v>
      </c>
      <c r="G22" s="3">
        <v>86566</v>
      </c>
      <c r="H22" s="3">
        <v>103.64</v>
      </c>
      <c r="I22" s="3" t="s">
        <v>17</v>
      </c>
      <c r="L22" s="2">
        <f>AVERAGEIF(C2:C213,"Action",F2:F213)</f>
        <v>5.1355555555555554</v>
      </c>
    </row>
    <row r="23" spans="1:13" x14ac:dyDescent="0.25">
      <c r="A23" s="3">
        <v>23</v>
      </c>
      <c r="B23" s="3" t="s">
        <v>48</v>
      </c>
      <c r="C23" s="3" t="s">
        <v>10</v>
      </c>
      <c r="D23" s="3">
        <v>2020</v>
      </c>
      <c r="E23" s="3">
        <v>116</v>
      </c>
      <c r="F23" s="3">
        <v>3.1</v>
      </c>
      <c r="G23" s="3">
        <v>69404</v>
      </c>
      <c r="H23" s="3">
        <v>124.13</v>
      </c>
      <c r="I23" s="3" t="s">
        <v>30</v>
      </c>
    </row>
    <row r="24" spans="1:13" x14ac:dyDescent="0.25">
      <c r="A24" s="3">
        <v>24</v>
      </c>
      <c r="B24" s="3" t="s">
        <v>49</v>
      </c>
      <c r="C24" s="3" t="s">
        <v>43</v>
      </c>
      <c r="D24" s="3">
        <v>2015</v>
      </c>
      <c r="E24" s="3">
        <v>91</v>
      </c>
      <c r="F24" s="3">
        <v>5.0999999999999996</v>
      </c>
      <c r="G24" s="3">
        <v>4297</v>
      </c>
      <c r="H24" s="3">
        <v>211.63</v>
      </c>
      <c r="I24" s="3" t="s">
        <v>21</v>
      </c>
      <c r="K24" s="2">
        <v>8</v>
      </c>
      <c r="L24" s="2" t="s">
        <v>50</v>
      </c>
    </row>
    <row r="25" spans="1:13" x14ac:dyDescent="0.25">
      <c r="A25" s="3">
        <v>25</v>
      </c>
      <c r="B25" s="3" t="s">
        <v>51</v>
      </c>
      <c r="C25" s="3" t="s">
        <v>43</v>
      </c>
      <c r="D25" s="3">
        <v>2019</v>
      </c>
      <c r="E25" s="3">
        <v>134</v>
      </c>
      <c r="F25" s="3">
        <v>6.5</v>
      </c>
      <c r="G25" s="3">
        <v>48382</v>
      </c>
      <c r="H25" s="3">
        <v>179.69</v>
      </c>
      <c r="I25" s="3" t="s">
        <v>19</v>
      </c>
      <c r="L25" s="2" t="str">
        <f>IF(F2&gt;8,"Hit","Average")</f>
        <v>Average</v>
      </c>
    </row>
    <row r="26" spans="1:13" x14ac:dyDescent="0.25">
      <c r="A26" s="3">
        <v>27</v>
      </c>
      <c r="B26" s="3" t="s">
        <v>52</v>
      </c>
      <c r="C26" s="3" t="s">
        <v>16</v>
      </c>
      <c r="D26" s="3">
        <v>2007</v>
      </c>
      <c r="E26" s="3">
        <v>102</v>
      </c>
      <c r="F26" s="3">
        <v>5.6</v>
      </c>
      <c r="G26" s="3">
        <v>35060</v>
      </c>
      <c r="H26" s="3">
        <v>23.24</v>
      </c>
      <c r="I26" s="3" t="s">
        <v>11</v>
      </c>
    </row>
    <row r="27" spans="1:13" x14ac:dyDescent="0.25">
      <c r="A27" s="3">
        <v>28</v>
      </c>
      <c r="B27" s="3" t="s">
        <v>53</v>
      </c>
      <c r="C27" s="3" t="s">
        <v>24</v>
      </c>
      <c r="D27" s="3">
        <v>2006</v>
      </c>
      <c r="E27" s="3">
        <v>168</v>
      </c>
      <c r="F27" s="3">
        <v>8.4</v>
      </c>
      <c r="G27" s="3">
        <v>77089</v>
      </c>
      <c r="H27" s="3">
        <v>23.79</v>
      </c>
      <c r="I27" s="3" t="s">
        <v>17</v>
      </c>
    </row>
    <row r="28" spans="1:13" x14ac:dyDescent="0.25">
      <c r="A28" s="3">
        <v>29</v>
      </c>
      <c r="B28" s="3" t="s">
        <v>54</v>
      </c>
      <c r="C28" s="3" t="s">
        <v>10</v>
      </c>
      <c r="D28" s="3">
        <v>2002</v>
      </c>
      <c r="E28" s="3">
        <v>178</v>
      </c>
      <c r="F28" s="3">
        <v>5.0999999999999996</v>
      </c>
      <c r="G28" s="3">
        <v>22616</v>
      </c>
      <c r="H28" s="3">
        <v>1.2</v>
      </c>
      <c r="I28" s="3" t="s">
        <v>30</v>
      </c>
      <c r="K28" s="2">
        <v>9</v>
      </c>
      <c r="L28" s="2" t="s">
        <v>55</v>
      </c>
    </row>
    <row r="29" spans="1:13" x14ac:dyDescent="0.25">
      <c r="A29" s="3">
        <v>30</v>
      </c>
      <c r="B29" s="3" t="s">
        <v>56</v>
      </c>
      <c r="C29" s="3" t="s">
        <v>10</v>
      </c>
      <c r="D29" s="3">
        <v>2016</v>
      </c>
      <c r="E29" s="3">
        <v>109</v>
      </c>
      <c r="F29" s="3">
        <v>6.1</v>
      </c>
      <c r="G29" s="3">
        <v>36744</v>
      </c>
      <c r="H29" s="3">
        <v>290.33</v>
      </c>
      <c r="I29" s="3" t="s">
        <v>30</v>
      </c>
    </row>
    <row r="30" spans="1:13" x14ac:dyDescent="0.25">
      <c r="A30" s="3">
        <v>31</v>
      </c>
      <c r="B30" s="3" t="s">
        <v>57</v>
      </c>
      <c r="C30" s="3" t="s">
        <v>16</v>
      </c>
      <c r="D30" s="3">
        <v>2000</v>
      </c>
      <c r="E30" s="3">
        <v>96</v>
      </c>
      <c r="F30" s="3">
        <v>7.7</v>
      </c>
      <c r="G30" s="3">
        <v>2145</v>
      </c>
      <c r="H30" s="3">
        <v>2.0699999999999998</v>
      </c>
      <c r="I30" s="3" t="s">
        <v>19</v>
      </c>
    </row>
    <row r="31" spans="1:13" x14ac:dyDescent="0.25">
      <c r="A31" s="3">
        <v>32</v>
      </c>
      <c r="B31" s="3" t="s">
        <v>58</v>
      </c>
      <c r="C31" s="3" t="s">
        <v>10</v>
      </c>
      <c r="D31" s="3">
        <v>2015</v>
      </c>
      <c r="E31" s="3">
        <v>141</v>
      </c>
      <c r="F31" s="3">
        <v>0</v>
      </c>
      <c r="G31" s="3">
        <v>48023</v>
      </c>
      <c r="H31" s="3">
        <v>31.38</v>
      </c>
      <c r="I31" s="3" t="s">
        <v>21</v>
      </c>
      <c r="L31" s="4" t="s">
        <v>59</v>
      </c>
      <c r="M31" s="4">
        <v>20</v>
      </c>
    </row>
    <row r="32" spans="1:13" x14ac:dyDescent="0.25">
      <c r="A32" s="3">
        <v>33</v>
      </c>
      <c r="B32" s="3" t="s">
        <v>60</v>
      </c>
      <c r="C32" s="3" t="s">
        <v>10</v>
      </c>
      <c r="D32" s="3">
        <v>2011</v>
      </c>
      <c r="E32" s="3">
        <v>163</v>
      </c>
      <c r="F32" s="3">
        <v>6.7</v>
      </c>
      <c r="G32" s="3">
        <v>19756</v>
      </c>
      <c r="H32" s="3">
        <v>94.72</v>
      </c>
      <c r="I32" s="3" t="s">
        <v>19</v>
      </c>
      <c r="L32" s="4" t="s">
        <v>2</v>
      </c>
      <c r="M32" s="4" t="str">
        <f>VLOOKUP(M31,A2:I213,3,FALSE)</f>
        <v>Thriller</v>
      </c>
    </row>
    <row r="33" spans="1:224" x14ac:dyDescent="0.25">
      <c r="A33" s="3">
        <v>34</v>
      </c>
      <c r="B33" s="3" t="s">
        <v>61</v>
      </c>
      <c r="C33" s="3" t="s">
        <v>43</v>
      </c>
      <c r="D33" s="3">
        <v>2018</v>
      </c>
      <c r="E33" s="3">
        <v>168</v>
      </c>
      <c r="F33" s="3">
        <v>8.1999999999999993</v>
      </c>
      <c r="G33" s="3">
        <v>53673</v>
      </c>
      <c r="H33" s="3">
        <v>242.33</v>
      </c>
      <c r="I33" s="3" t="s">
        <v>17</v>
      </c>
    </row>
    <row r="34" spans="1:224" x14ac:dyDescent="0.25">
      <c r="A34" s="3">
        <v>35</v>
      </c>
      <c r="B34" s="3" t="s">
        <v>62</v>
      </c>
      <c r="C34" s="3" t="s">
        <v>16</v>
      </c>
      <c r="D34" s="3">
        <v>2021</v>
      </c>
      <c r="E34" s="3">
        <v>165</v>
      </c>
      <c r="F34" s="3">
        <v>8.6999999999999993</v>
      </c>
      <c r="G34" s="3">
        <v>37930</v>
      </c>
      <c r="H34" s="3">
        <v>288.64999999999998</v>
      </c>
      <c r="I34" s="3" t="s">
        <v>19</v>
      </c>
      <c r="K34" s="2">
        <v>10</v>
      </c>
      <c r="L34" s="2" t="s">
        <v>63</v>
      </c>
    </row>
    <row r="35" spans="1:224" x14ac:dyDescent="0.25">
      <c r="A35" s="3">
        <v>36</v>
      </c>
      <c r="B35" s="3" t="s">
        <v>64</v>
      </c>
      <c r="C35" s="3" t="s">
        <v>13</v>
      </c>
      <c r="D35" s="3">
        <v>2022</v>
      </c>
      <c r="E35" s="3">
        <v>92</v>
      </c>
      <c r="F35" s="3">
        <v>3.9</v>
      </c>
      <c r="G35" s="3">
        <v>39782</v>
      </c>
      <c r="H35" s="3">
        <v>237.11</v>
      </c>
      <c r="I35" s="3" t="s">
        <v>30</v>
      </c>
    </row>
    <row r="36" spans="1:224" x14ac:dyDescent="0.25">
      <c r="A36" s="3">
        <v>37</v>
      </c>
      <c r="B36" s="3" t="s">
        <v>65</v>
      </c>
      <c r="C36" s="3" t="s">
        <v>16</v>
      </c>
      <c r="D36" s="3">
        <v>2021</v>
      </c>
      <c r="E36" s="3">
        <v>138</v>
      </c>
      <c r="F36" s="3">
        <v>8.6</v>
      </c>
      <c r="G36" s="3">
        <v>63874</v>
      </c>
      <c r="H36" s="3">
        <v>207.32</v>
      </c>
      <c r="I36" s="3" t="s">
        <v>30</v>
      </c>
      <c r="L36" s="4" t="s">
        <v>59</v>
      </c>
      <c r="M36" s="4">
        <v>104</v>
      </c>
    </row>
    <row r="37" spans="1:224" x14ac:dyDescent="0.25">
      <c r="A37" s="3">
        <v>38</v>
      </c>
      <c r="B37" s="3" t="s">
        <v>66</v>
      </c>
      <c r="C37" s="3" t="s">
        <v>13</v>
      </c>
      <c r="D37" s="3">
        <v>2013</v>
      </c>
      <c r="E37" s="3">
        <v>98</v>
      </c>
      <c r="F37" s="3">
        <v>6</v>
      </c>
      <c r="G37" s="3">
        <v>68744</v>
      </c>
      <c r="H37" s="3">
        <v>156.63</v>
      </c>
      <c r="I37" s="3" t="s">
        <v>11</v>
      </c>
      <c r="L37" s="4" t="s">
        <v>5</v>
      </c>
      <c r="M37" s="4">
        <f>HLOOKUP(M36,L39:HP47,6,FALSE)</f>
        <v>3.7</v>
      </c>
    </row>
    <row r="38" spans="1:224" x14ac:dyDescent="0.25">
      <c r="A38" s="3">
        <v>39</v>
      </c>
      <c r="B38" s="3" t="s">
        <v>67</v>
      </c>
      <c r="C38" s="3" t="s">
        <v>43</v>
      </c>
      <c r="D38" s="3">
        <v>2005</v>
      </c>
      <c r="E38" s="3">
        <v>128</v>
      </c>
      <c r="F38" s="3">
        <v>4.5</v>
      </c>
      <c r="G38" s="3">
        <v>12194</v>
      </c>
      <c r="H38" s="3">
        <v>26.47</v>
      </c>
      <c r="I38" s="3" t="s">
        <v>11</v>
      </c>
    </row>
    <row r="39" spans="1:224" x14ac:dyDescent="0.25">
      <c r="A39" s="3">
        <v>40</v>
      </c>
      <c r="B39" s="3" t="s">
        <v>68</v>
      </c>
      <c r="C39" s="3" t="s">
        <v>24</v>
      </c>
      <c r="D39" s="3">
        <v>2005</v>
      </c>
      <c r="E39" s="3">
        <v>179</v>
      </c>
      <c r="F39" s="3">
        <v>0</v>
      </c>
      <c r="G39" s="3">
        <v>56764</v>
      </c>
      <c r="H39" s="3">
        <v>287.47000000000003</v>
      </c>
      <c r="I39" s="3" t="s">
        <v>17</v>
      </c>
      <c r="L39" s="1" t="s">
        <v>0</v>
      </c>
      <c r="M39" s="3">
        <v>1</v>
      </c>
      <c r="N39" s="3">
        <v>2</v>
      </c>
      <c r="O39" s="3">
        <v>3</v>
      </c>
      <c r="P39" s="3">
        <v>4</v>
      </c>
      <c r="Q39" s="3">
        <v>5</v>
      </c>
      <c r="R39" s="3">
        <v>6</v>
      </c>
      <c r="S39" s="3">
        <v>7</v>
      </c>
      <c r="T39" s="3">
        <v>8</v>
      </c>
      <c r="U39" s="3">
        <v>9</v>
      </c>
      <c r="V39" s="3">
        <v>10</v>
      </c>
      <c r="W39" s="3">
        <v>11</v>
      </c>
      <c r="X39" s="3">
        <v>12</v>
      </c>
      <c r="Y39" s="3">
        <v>13</v>
      </c>
      <c r="Z39" s="3">
        <v>14</v>
      </c>
      <c r="AA39" s="3">
        <v>15</v>
      </c>
      <c r="AB39" s="3">
        <v>16</v>
      </c>
      <c r="AC39" s="3">
        <v>17</v>
      </c>
      <c r="AD39" s="3">
        <v>18</v>
      </c>
      <c r="AE39" s="3">
        <v>19</v>
      </c>
      <c r="AF39" s="3">
        <v>20</v>
      </c>
      <c r="AG39" s="3">
        <v>21</v>
      </c>
      <c r="AH39" s="3">
        <v>23</v>
      </c>
      <c r="AI39" s="3">
        <v>24</v>
      </c>
      <c r="AJ39" s="3">
        <v>25</v>
      </c>
      <c r="AK39" s="3">
        <v>27</v>
      </c>
      <c r="AL39" s="3">
        <v>28</v>
      </c>
      <c r="AM39" s="3">
        <v>29</v>
      </c>
      <c r="AN39" s="3">
        <v>30</v>
      </c>
      <c r="AO39" s="3">
        <v>31</v>
      </c>
      <c r="AP39" s="3">
        <v>32</v>
      </c>
      <c r="AQ39" s="3">
        <v>33</v>
      </c>
      <c r="AR39" s="3">
        <v>34</v>
      </c>
      <c r="AS39" s="3">
        <v>35</v>
      </c>
      <c r="AT39" s="3">
        <v>36</v>
      </c>
      <c r="AU39" s="3">
        <v>37</v>
      </c>
      <c r="AV39" s="3">
        <v>38</v>
      </c>
      <c r="AW39" s="3">
        <v>39</v>
      </c>
      <c r="AX39" s="3">
        <v>40</v>
      </c>
      <c r="AY39" s="3">
        <v>41</v>
      </c>
      <c r="AZ39" s="3">
        <v>42</v>
      </c>
      <c r="BA39" s="3">
        <v>43</v>
      </c>
      <c r="BB39" s="3">
        <v>44</v>
      </c>
      <c r="BC39" s="3">
        <v>45</v>
      </c>
      <c r="BD39" s="3">
        <v>46</v>
      </c>
      <c r="BE39" s="3">
        <v>47</v>
      </c>
      <c r="BF39" s="3">
        <v>49</v>
      </c>
      <c r="BG39" s="3">
        <v>50</v>
      </c>
      <c r="BH39" s="3">
        <v>51</v>
      </c>
      <c r="BI39" s="3">
        <v>52</v>
      </c>
      <c r="BJ39" s="3">
        <v>54</v>
      </c>
      <c r="BK39" s="3">
        <v>55</v>
      </c>
      <c r="BL39" s="3">
        <v>56</v>
      </c>
      <c r="BM39" s="3">
        <v>57</v>
      </c>
      <c r="BN39" s="3">
        <v>58</v>
      </c>
      <c r="BO39" s="3">
        <v>60</v>
      </c>
      <c r="BP39" s="3">
        <v>61</v>
      </c>
      <c r="BQ39" s="3">
        <v>63</v>
      </c>
      <c r="BR39" s="3">
        <v>64</v>
      </c>
      <c r="BS39" s="3">
        <v>65</v>
      </c>
      <c r="BT39" s="3">
        <v>66</v>
      </c>
      <c r="BU39" s="3">
        <v>67</v>
      </c>
      <c r="BV39" s="3">
        <v>68</v>
      </c>
      <c r="BW39" s="3">
        <v>70</v>
      </c>
      <c r="BX39" s="3">
        <v>71</v>
      </c>
      <c r="BY39" s="3">
        <v>72</v>
      </c>
      <c r="BZ39" s="3">
        <v>73</v>
      </c>
      <c r="CA39" s="3">
        <v>74</v>
      </c>
      <c r="CB39" s="3">
        <v>75</v>
      </c>
      <c r="CC39" s="3">
        <v>77</v>
      </c>
      <c r="CD39" s="3">
        <v>78</v>
      </c>
      <c r="CE39" s="3">
        <v>79</v>
      </c>
      <c r="CF39" s="3">
        <v>80</v>
      </c>
      <c r="CG39" s="3">
        <v>82</v>
      </c>
      <c r="CH39" s="3">
        <v>83</v>
      </c>
      <c r="CI39" s="3">
        <v>84</v>
      </c>
      <c r="CJ39" s="3">
        <v>85</v>
      </c>
      <c r="CK39" s="3">
        <v>86</v>
      </c>
      <c r="CL39" s="3">
        <v>87</v>
      </c>
      <c r="CM39" s="3">
        <v>90</v>
      </c>
      <c r="CN39" s="3">
        <v>91</v>
      </c>
      <c r="CO39" s="3">
        <v>92</v>
      </c>
      <c r="CP39" s="3">
        <v>93</v>
      </c>
      <c r="CQ39" s="3">
        <v>95</v>
      </c>
      <c r="CR39" s="3">
        <v>96</v>
      </c>
      <c r="CS39" s="3">
        <v>97</v>
      </c>
      <c r="CT39" s="3">
        <v>98</v>
      </c>
      <c r="CU39" s="3">
        <v>99</v>
      </c>
      <c r="CV39" s="3">
        <v>101</v>
      </c>
      <c r="CW39" s="3">
        <v>102</v>
      </c>
      <c r="CX39" s="3">
        <v>104</v>
      </c>
      <c r="CY39" s="3">
        <v>105</v>
      </c>
      <c r="CZ39" s="3">
        <v>106</v>
      </c>
      <c r="DA39" s="3">
        <v>108</v>
      </c>
      <c r="DB39" s="3">
        <v>109</v>
      </c>
      <c r="DC39" s="3">
        <v>110</v>
      </c>
      <c r="DD39" s="3">
        <v>112</v>
      </c>
      <c r="DE39" s="3">
        <v>113</v>
      </c>
      <c r="DF39" s="3">
        <v>114</v>
      </c>
      <c r="DG39" s="3">
        <v>115</v>
      </c>
      <c r="DH39" s="3">
        <v>116</v>
      </c>
      <c r="DI39" s="3">
        <v>117</v>
      </c>
      <c r="DJ39" s="3">
        <v>118</v>
      </c>
      <c r="DK39" s="3">
        <v>119</v>
      </c>
      <c r="DL39" s="3">
        <v>121</v>
      </c>
      <c r="DM39" s="3">
        <v>122</v>
      </c>
      <c r="DN39" s="3">
        <v>123</v>
      </c>
      <c r="DO39" s="3">
        <v>124</v>
      </c>
      <c r="DP39" s="3">
        <v>125</v>
      </c>
      <c r="DQ39" s="3">
        <v>126</v>
      </c>
      <c r="DR39" s="3">
        <v>127</v>
      </c>
      <c r="DS39" s="3">
        <v>128</v>
      </c>
      <c r="DT39" s="3">
        <v>129</v>
      </c>
      <c r="DU39" s="3">
        <v>130</v>
      </c>
      <c r="DV39" s="3">
        <v>131</v>
      </c>
      <c r="DW39" s="3">
        <v>132</v>
      </c>
      <c r="DX39" s="3">
        <v>134</v>
      </c>
      <c r="DY39" s="3">
        <v>135</v>
      </c>
      <c r="DZ39" s="3">
        <v>136</v>
      </c>
      <c r="EA39" s="3">
        <v>137</v>
      </c>
      <c r="EB39" s="3">
        <v>139</v>
      </c>
      <c r="EC39" s="3">
        <v>140</v>
      </c>
      <c r="ED39" s="3">
        <v>141</v>
      </c>
      <c r="EE39" s="3">
        <v>142</v>
      </c>
      <c r="EF39" s="3">
        <v>143</v>
      </c>
      <c r="EG39" s="3">
        <v>144</v>
      </c>
      <c r="EH39" s="3">
        <v>145</v>
      </c>
      <c r="EI39" s="3">
        <v>146</v>
      </c>
      <c r="EJ39" s="3">
        <v>148</v>
      </c>
      <c r="EK39" s="3">
        <v>149</v>
      </c>
      <c r="EL39" s="3">
        <v>150</v>
      </c>
      <c r="EM39" s="3">
        <v>151</v>
      </c>
      <c r="EN39" s="3">
        <v>152</v>
      </c>
      <c r="EO39" s="3">
        <v>157</v>
      </c>
      <c r="EP39" s="3">
        <v>158</v>
      </c>
      <c r="EQ39" s="3">
        <v>159</v>
      </c>
      <c r="ER39" s="3">
        <v>160</v>
      </c>
      <c r="ES39" s="3">
        <v>161</v>
      </c>
      <c r="ET39" s="3">
        <v>162</v>
      </c>
      <c r="EU39" s="3">
        <v>163</v>
      </c>
      <c r="EV39" s="3">
        <v>164</v>
      </c>
      <c r="EW39" s="3">
        <v>165</v>
      </c>
      <c r="EX39" s="3">
        <v>166</v>
      </c>
      <c r="EY39" s="3">
        <v>167</v>
      </c>
      <c r="EZ39" s="3">
        <v>168</v>
      </c>
      <c r="FA39" s="3">
        <v>169</v>
      </c>
      <c r="FB39" s="3">
        <v>170</v>
      </c>
      <c r="FC39" s="3">
        <v>174</v>
      </c>
      <c r="FD39" s="3">
        <v>175</v>
      </c>
      <c r="FE39" s="3">
        <v>176</v>
      </c>
      <c r="FF39" s="3">
        <v>177</v>
      </c>
      <c r="FG39" s="3">
        <v>178</v>
      </c>
      <c r="FH39" s="3">
        <v>179</v>
      </c>
      <c r="FI39" s="3">
        <v>180</v>
      </c>
      <c r="FJ39" s="3">
        <v>182</v>
      </c>
      <c r="FK39" s="3">
        <v>184</v>
      </c>
      <c r="FL39" s="3">
        <v>185</v>
      </c>
      <c r="FM39" s="3">
        <v>186</v>
      </c>
      <c r="FN39" s="3">
        <v>187</v>
      </c>
      <c r="FO39" s="3">
        <v>188</v>
      </c>
      <c r="FP39" s="3">
        <v>189</v>
      </c>
      <c r="FQ39" s="3">
        <v>191</v>
      </c>
      <c r="FR39" s="3">
        <v>193</v>
      </c>
      <c r="FS39" s="3">
        <v>194</v>
      </c>
      <c r="FT39" s="3">
        <v>196</v>
      </c>
      <c r="FU39" s="3">
        <v>197</v>
      </c>
      <c r="FV39" s="3">
        <v>198</v>
      </c>
      <c r="FW39" s="3">
        <v>200</v>
      </c>
      <c r="FX39" s="3">
        <v>201</v>
      </c>
      <c r="FY39" s="3">
        <v>202</v>
      </c>
      <c r="FZ39" s="3">
        <v>203</v>
      </c>
      <c r="GA39" s="3">
        <v>204</v>
      </c>
      <c r="GB39" s="3">
        <v>205</v>
      </c>
      <c r="GC39" s="3">
        <v>206</v>
      </c>
      <c r="GD39" s="3">
        <v>209</v>
      </c>
      <c r="GE39" s="3">
        <v>210</v>
      </c>
      <c r="GF39" s="3">
        <v>211</v>
      </c>
      <c r="GG39" s="3">
        <v>212</v>
      </c>
      <c r="GH39" s="3">
        <v>213</v>
      </c>
      <c r="GI39" s="3">
        <v>214</v>
      </c>
      <c r="GJ39" s="3">
        <v>215</v>
      </c>
      <c r="GK39" s="3">
        <v>217</v>
      </c>
      <c r="GL39" s="3">
        <v>218</v>
      </c>
      <c r="GM39" s="3">
        <v>219</v>
      </c>
      <c r="GN39" s="3">
        <v>220</v>
      </c>
      <c r="GO39" s="3">
        <v>221</v>
      </c>
      <c r="GP39" s="3">
        <v>222</v>
      </c>
      <c r="GQ39" s="3">
        <v>223</v>
      </c>
      <c r="GR39" s="3">
        <v>224</v>
      </c>
      <c r="GS39" s="3">
        <v>225</v>
      </c>
      <c r="GT39" s="3">
        <v>226</v>
      </c>
      <c r="GU39" s="3">
        <v>227</v>
      </c>
      <c r="GV39" s="3">
        <v>228</v>
      </c>
      <c r="GW39" s="3">
        <v>229</v>
      </c>
      <c r="GX39" s="3">
        <v>230</v>
      </c>
      <c r="GY39" s="3">
        <v>231</v>
      </c>
      <c r="GZ39" s="3">
        <v>232</v>
      </c>
      <c r="HA39" s="3">
        <v>233</v>
      </c>
      <c r="HB39" s="3">
        <v>234</v>
      </c>
      <c r="HC39" s="3">
        <v>235</v>
      </c>
      <c r="HD39" s="3">
        <v>236</v>
      </c>
      <c r="HE39" s="3">
        <v>238</v>
      </c>
      <c r="HF39" s="3">
        <v>239</v>
      </c>
      <c r="HG39" s="3">
        <v>240</v>
      </c>
      <c r="HH39" s="3">
        <v>241</v>
      </c>
      <c r="HI39" s="3">
        <v>242</v>
      </c>
      <c r="HJ39" s="3">
        <v>243</v>
      </c>
      <c r="HK39" s="3">
        <v>244</v>
      </c>
      <c r="HL39" s="3">
        <v>245</v>
      </c>
      <c r="HM39" s="3">
        <v>246</v>
      </c>
      <c r="HN39" s="3">
        <v>247</v>
      </c>
      <c r="HO39" s="3">
        <v>248</v>
      </c>
      <c r="HP39" s="3">
        <v>249</v>
      </c>
    </row>
    <row r="40" spans="1:224" x14ac:dyDescent="0.25">
      <c r="A40" s="3">
        <v>41</v>
      </c>
      <c r="B40" s="3" t="s">
        <v>69</v>
      </c>
      <c r="C40" s="3" t="s">
        <v>10</v>
      </c>
      <c r="D40" s="3">
        <v>2012</v>
      </c>
      <c r="E40" s="3">
        <v>91</v>
      </c>
      <c r="F40" s="3">
        <v>0</v>
      </c>
      <c r="G40" s="3">
        <v>75560</v>
      </c>
      <c r="H40" s="3">
        <v>227.64</v>
      </c>
      <c r="I40" s="3" t="s">
        <v>21</v>
      </c>
      <c r="L40" s="1" t="s">
        <v>1</v>
      </c>
      <c r="M40" s="3" t="s">
        <v>9</v>
      </c>
      <c r="N40" s="3" t="s">
        <v>12</v>
      </c>
      <c r="O40" s="3" t="s">
        <v>15</v>
      </c>
      <c r="P40" s="3" t="s">
        <v>18</v>
      </c>
      <c r="Q40" s="3" t="s">
        <v>20</v>
      </c>
      <c r="R40" s="3" t="s">
        <v>23</v>
      </c>
      <c r="S40" s="3" t="s">
        <v>25</v>
      </c>
      <c r="T40" s="3" t="s">
        <v>26</v>
      </c>
      <c r="U40" s="3" t="s">
        <v>28</v>
      </c>
      <c r="V40" s="3" t="s">
        <v>29</v>
      </c>
      <c r="W40" s="3" t="s">
        <v>31</v>
      </c>
      <c r="X40" s="3" t="s">
        <v>33</v>
      </c>
      <c r="Y40" s="3" t="s">
        <v>34</v>
      </c>
      <c r="Z40" s="3" t="s">
        <v>35</v>
      </c>
      <c r="AA40" s="3" t="s">
        <v>37</v>
      </c>
      <c r="AB40" s="3" t="s">
        <v>38</v>
      </c>
      <c r="AC40" s="3" t="s">
        <v>39</v>
      </c>
      <c r="AD40" s="3" t="s">
        <v>41</v>
      </c>
      <c r="AE40" s="3" t="s">
        <v>42</v>
      </c>
      <c r="AF40" s="3" t="s">
        <v>44</v>
      </c>
      <c r="AG40" s="3" t="s">
        <v>46</v>
      </c>
      <c r="AH40" s="3" t="s">
        <v>48</v>
      </c>
      <c r="AI40" s="3" t="s">
        <v>49</v>
      </c>
      <c r="AJ40" s="3" t="s">
        <v>51</v>
      </c>
      <c r="AK40" s="3" t="s">
        <v>52</v>
      </c>
      <c r="AL40" s="3" t="s">
        <v>53</v>
      </c>
      <c r="AM40" s="3" t="s">
        <v>54</v>
      </c>
      <c r="AN40" s="3" t="s">
        <v>56</v>
      </c>
      <c r="AO40" s="3" t="s">
        <v>57</v>
      </c>
      <c r="AP40" s="3" t="s">
        <v>58</v>
      </c>
      <c r="AQ40" s="3" t="s">
        <v>60</v>
      </c>
      <c r="AR40" s="3" t="s">
        <v>61</v>
      </c>
      <c r="AS40" s="3" t="s">
        <v>62</v>
      </c>
      <c r="AT40" s="3" t="s">
        <v>64</v>
      </c>
      <c r="AU40" s="3" t="s">
        <v>65</v>
      </c>
      <c r="AV40" s="3" t="s">
        <v>66</v>
      </c>
      <c r="AW40" s="3" t="s">
        <v>67</v>
      </c>
      <c r="AX40" s="3" t="s">
        <v>68</v>
      </c>
      <c r="AY40" s="3" t="s">
        <v>69</v>
      </c>
      <c r="AZ40" s="3" t="s">
        <v>70</v>
      </c>
      <c r="BA40" s="3" t="s">
        <v>71</v>
      </c>
      <c r="BB40" s="3" t="s">
        <v>72</v>
      </c>
      <c r="BC40" s="3" t="s">
        <v>73</v>
      </c>
      <c r="BD40" s="3" t="s">
        <v>74</v>
      </c>
      <c r="BE40" s="3" t="s">
        <v>75</v>
      </c>
      <c r="BF40" s="3" t="s">
        <v>76</v>
      </c>
      <c r="BG40" s="3" t="s">
        <v>77</v>
      </c>
      <c r="BH40" s="3" t="s">
        <v>78</v>
      </c>
      <c r="BI40" s="3" t="s">
        <v>79</v>
      </c>
      <c r="BJ40" s="3" t="s">
        <v>80</v>
      </c>
      <c r="BK40" s="3" t="s">
        <v>81</v>
      </c>
      <c r="BL40" s="3" t="s">
        <v>82</v>
      </c>
      <c r="BM40" s="3" t="s">
        <v>83</v>
      </c>
      <c r="BN40" s="3" t="s">
        <v>84</v>
      </c>
      <c r="BO40" s="3" t="s">
        <v>85</v>
      </c>
      <c r="BP40" s="3" t="s">
        <v>86</v>
      </c>
      <c r="BQ40" s="3" t="s">
        <v>87</v>
      </c>
      <c r="BR40" s="3" t="s">
        <v>88</v>
      </c>
      <c r="BS40" s="3" t="s">
        <v>89</v>
      </c>
      <c r="BT40" s="3" t="s">
        <v>90</v>
      </c>
      <c r="BU40" s="3" t="s">
        <v>91</v>
      </c>
      <c r="BV40" s="3" t="s">
        <v>92</v>
      </c>
      <c r="BW40" s="3" t="s">
        <v>93</v>
      </c>
      <c r="BX40" s="3" t="s">
        <v>94</v>
      </c>
      <c r="BY40" s="3" t="s">
        <v>95</v>
      </c>
      <c r="BZ40" s="3" t="s">
        <v>96</v>
      </c>
      <c r="CA40" s="3" t="s">
        <v>97</v>
      </c>
      <c r="CB40" s="3" t="s">
        <v>98</v>
      </c>
      <c r="CC40" s="3" t="s">
        <v>99</v>
      </c>
      <c r="CD40" s="3" t="s">
        <v>100</v>
      </c>
      <c r="CE40" s="3" t="s">
        <v>101</v>
      </c>
      <c r="CF40" s="3" t="s">
        <v>102</v>
      </c>
      <c r="CG40" s="3" t="s">
        <v>103</v>
      </c>
      <c r="CH40" s="3" t="s">
        <v>104</v>
      </c>
      <c r="CI40" s="3" t="s">
        <v>105</v>
      </c>
      <c r="CJ40" s="3" t="s">
        <v>106</v>
      </c>
      <c r="CK40" s="3" t="s">
        <v>107</v>
      </c>
      <c r="CL40" s="3" t="s">
        <v>108</v>
      </c>
      <c r="CM40" s="3" t="s">
        <v>109</v>
      </c>
      <c r="CN40" s="3" t="s">
        <v>110</v>
      </c>
      <c r="CO40" s="3" t="s">
        <v>111</v>
      </c>
      <c r="CP40" s="3" t="s">
        <v>112</v>
      </c>
      <c r="CQ40" s="3" t="s">
        <v>113</v>
      </c>
      <c r="CR40" s="3" t="s">
        <v>114</v>
      </c>
      <c r="CS40" s="3" t="s">
        <v>115</v>
      </c>
      <c r="CT40" s="3" t="s">
        <v>116</v>
      </c>
      <c r="CU40" s="3" t="s">
        <v>117</v>
      </c>
      <c r="CV40" s="3" t="s">
        <v>118</v>
      </c>
      <c r="CW40" s="3" t="s">
        <v>119</v>
      </c>
      <c r="CX40" s="3" t="s">
        <v>120</v>
      </c>
      <c r="CY40" s="3" t="s">
        <v>121</v>
      </c>
      <c r="CZ40" s="3" t="s">
        <v>122</v>
      </c>
      <c r="DA40" s="3" t="s">
        <v>123</v>
      </c>
      <c r="DB40" s="3" t="s">
        <v>124</v>
      </c>
      <c r="DC40" s="3" t="s">
        <v>125</v>
      </c>
      <c r="DD40" s="3" t="s">
        <v>126</v>
      </c>
      <c r="DE40" s="3" t="s">
        <v>127</v>
      </c>
      <c r="DF40" s="3" t="s">
        <v>128</v>
      </c>
      <c r="DG40" s="3" t="s">
        <v>129</v>
      </c>
      <c r="DH40" s="3" t="s">
        <v>130</v>
      </c>
      <c r="DI40" s="3" t="s">
        <v>131</v>
      </c>
      <c r="DJ40" s="3" t="s">
        <v>132</v>
      </c>
      <c r="DK40" s="3" t="s">
        <v>133</v>
      </c>
      <c r="DL40" s="3" t="s">
        <v>134</v>
      </c>
      <c r="DM40" s="3" t="s">
        <v>135</v>
      </c>
      <c r="DN40" s="3" t="s">
        <v>136</v>
      </c>
      <c r="DO40" s="3" t="s">
        <v>137</v>
      </c>
      <c r="DP40" s="3" t="s">
        <v>138</v>
      </c>
      <c r="DQ40" s="3" t="s">
        <v>139</v>
      </c>
      <c r="DR40" s="3" t="s">
        <v>140</v>
      </c>
      <c r="DS40" s="3" t="s">
        <v>141</v>
      </c>
      <c r="DT40" s="3" t="s">
        <v>142</v>
      </c>
      <c r="DU40" s="3" t="s">
        <v>143</v>
      </c>
      <c r="DV40" s="3" t="s">
        <v>144</v>
      </c>
      <c r="DW40" s="3" t="s">
        <v>145</v>
      </c>
      <c r="DX40" s="3" t="s">
        <v>146</v>
      </c>
      <c r="DY40" s="3" t="s">
        <v>147</v>
      </c>
      <c r="DZ40" s="3" t="s">
        <v>148</v>
      </c>
      <c r="EA40" s="3" t="s">
        <v>149</v>
      </c>
      <c r="EB40" s="3" t="s">
        <v>150</v>
      </c>
      <c r="EC40" s="3" t="s">
        <v>151</v>
      </c>
      <c r="ED40" s="3" t="s">
        <v>152</v>
      </c>
      <c r="EE40" s="3" t="s">
        <v>153</v>
      </c>
      <c r="EF40" s="3" t="s">
        <v>154</v>
      </c>
      <c r="EG40" s="3" t="s">
        <v>155</v>
      </c>
      <c r="EH40" s="3" t="s">
        <v>156</v>
      </c>
      <c r="EI40" s="3" t="s">
        <v>157</v>
      </c>
      <c r="EJ40" s="3" t="s">
        <v>158</v>
      </c>
      <c r="EK40" s="3" t="s">
        <v>159</v>
      </c>
      <c r="EL40" s="3" t="s">
        <v>160</v>
      </c>
      <c r="EM40" s="3" t="s">
        <v>161</v>
      </c>
      <c r="EN40" s="3" t="s">
        <v>162</v>
      </c>
      <c r="EO40" s="3" t="s">
        <v>163</v>
      </c>
      <c r="EP40" s="3" t="s">
        <v>164</v>
      </c>
      <c r="EQ40" s="3" t="s">
        <v>165</v>
      </c>
      <c r="ER40" s="3" t="s">
        <v>166</v>
      </c>
      <c r="ES40" s="3" t="s">
        <v>167</v>
      </c>
      <c r="ET40" s="3" t="s">
        <v>168</v>
      </c>
      <c r="EU40" s="3" t="s">
        <v>169</v>
      </c>
      <c r="EV40" s="3" t="s">
        <v>170</v>
      </c>
      <c r="EW40" s="3" t="s">
        <v>171</v>
      </c>
      <c r="EX40" s="3" t="s">
        <v>172</v>
      </c>
      <c r="EY40" s="3" t="s">
        <v>173</v>
      </c>
      <c r="EZ40" s="3" t="s">
        <v>174</v>
      </c>
      <c r="FA40" s="3" t="s">
        <v>175</v>
      </c>
      <c r="FB40" s="3" t="s">
        <v>176</v>
      </c>
      <c r="FC40" s="3" t="s">
        <v>177</v>
      </c>
      <c r="FD40" s="3" t="s">
        <v>178</v>
      </c>
      <c r="FE40" s="3" t="s">
        <v>179</v>
      </c>
      <c r="FF40" s="3" t="s">
        <v>180</v>
      </c>
      <c r="FG40" s="3" t="s">
        <v>181</v>
      </c>
      <c r="FH40" s="3" t="s">
        <v>182</v>
      </c>
      <c r="FI40" s="3" t="s">
        <v>183</v>
      </c>
      <c r="FJ40" s="3" t="s">
        <v>184</v>
      </c>
      <c r="FK40" s="3" t="s">
        <v>185</v>
      </c>
      <c r="FL40" s="3" t="s">
        <v>186</v>
      </c>
      <c r="FM40" s="3" t="s">
        <v>187</v>
      </c>
      <c r="FN40" s="3" t="s">
        <v>188</v>
      </c>
      <c r="FO40" s="3" t="s">
        <v>189</v>
      </c>
      <c r="FP40" s="3" t="s">
        <v>190</v>
      </c>
      <c r="FQ40" s="3" t="s">
        <v>191</v>
      </c>
      <c r="FR40" s="3" t="s">
        <v>192</v>
      </c>
      <c r="FS40" s="3" t="s">
        <v>193</v>
      </c>
      <c r="FT40" s="3" t="s">
        <v>194</v>
      </c>
      <c r="FU40" s="3" t="s">
        <v>195</v>
      </c>
      <c r="FV40" s="3" t="s">
        <v>196</v>
      </c>
      <c r="FW40" s="3" t="s">
        <v>197</v>
      </c>
      <c r="FX40" s="3" t="s">
        <v>198</v>
      </c>
      <c r="FY40" s="3" t="s">
        <v>199</v>
      </c>
      <c r="FZ40" s="3" t="s">
        <v>200</v>
      </c>
      <c r="GA40" s="3" t="s">
        <v>201</v>
      </c>
      <c r="GB40" s="3" t="s">
        <v>202</v>
      </c>
      <c r="GC40" s="3" t="s">
        <v>203</v>
      </c>
      <c r="GD40" s="3" t="s">
        <v>204</v>
      </c>
      <c r="GE40" s="3" t="s">
        <v>205</v>
      </c>
      <c r="GF40" s="3" t="s">
        <v>206</v>
      </c>
      <c r="GG40" s="3" t="s">
        <v>207</v>
      </c>
      <c r="GH40" s="3" t="s">
        <v>208</v>
      </c>
      <c r="GI40" s="3" t="s">
        <v>209</v>
      </c>
      <c r="GJ40" s="3" t="s">
        <v>210</v>
      </c>
      <c r="GK40" s="3" t="s">
        <v>211</v>
      </c>
      <c r="GL40" s="3" t="s">
        <v>212</v>
      </c>
      <c r="GM40" s="3" t="s">
        <v>213</v>
      </c>
      <c r="GN40" s="3" t="s">
        <v>214</v>
      </c>
      <c r="GO40" s="3" t="s">
        <v>215</v>
      </c>
      <c r="GP40" s="3" t="s">
        <v>216</v>
      </c>
      <c r="GQ40" s="3" t="s">
        <v>217</v>
      </c>
      <c r="GR40" s="3" t="s">
        <v>218</v>
      </c>
      <c r="GS40" s="3" t="s">
        <v>219</v>
      </c>
      <c r="GT40" s="3" t="s">
        <v>220</v>
      </c>
      <c r="GU40" s="3" t="s">
        <v>221</v>
      </c>
      <c r="GV40" s="3" t="s">
        <v>222</v>
      </c>
      <c r="GW40" s="3" t="s">
        <v>223</v>
      </c>
      <c r="GX40" s="3" t="s">
        <v>224</v>
      </c>
      <c r="GY40" s="3" t="s">
        <v>225</v>
      </c>
      <c r="GZ40" s="3" t="s">
        <v>226</v>
      </c>
      <c r="HA40" s="3" t="s">
        <v>227</v>
      </c>
      <c r="HB40" s="3" t="s">
        <v>228</v>
      </c>
      <c r="HC40" s="3" t="s">
        <v>229</v>
      </c>
      <c r="HD40" s="3" t="s">
        <v>230</v>
      </c>
      <c r="HE40" s="3" t="s">
        <v>231</v>
      </c>
      <c r="HF40" s="3" t="s">
        <v>232</v>
      </c>
      <c r="HG40" s="3" t="s">
        <v>233</v>
      </c>
      <c r="HH40" s="3" t="s">
        <v>234</v>
      </c>
      <c r="HI40" s="3" t="s">
        <v>235</v>
      </c>
      <c r="HJ40" s="3" t="s">
        <v>236</v>
      </c>
      <c r="HK40" s="3" t="s">
        <v>237</v>
      </c>
      <c r="HL40" s="3" t="s">
        <v>238</v>
      </c>
      <c r="HM40" s="3" t="s">
        <v>239</v>
      </c>
      <c r="HN40" s="3" t="s">
        <v>240</v>
      </c>
      <c r="HO40" s="3" t="s">
        <v>241</v>
      </c>
      <c r="HP40" s="3" t="s">
        <v>242</v>
      </c>
    </row>
    <row r="41" spans="1:224" x14ac:dyDescent="0.25">
      <c r="A41" s="3">
        <v>42</v>
      </c>
      <c r="B41" s="3" t="s">
        <v>70</v>
      </c>
      <c r="C41" s="3" t="s">
        <v>43</v>
      </c>
      <c r="D41" s="3">
        <v>2018</v>
      </c>
      <c r="E41" s="3">
        <v>140</v>
      </c>
      <c r="F41" s="3">
        <v>6</v>
      </c>
      <c r="G41" s="3">
        <v>97916</v>
      </c>
      <c r="H41" s="3">
        <v>191.87</v>
      </c>
      <c r="I41" s="3" t="s">
        <v>19</v>
      </c>
      <c r="L41" s="1" t="s">
        <v>2</v>
      </c>
      <c r="M41" s="3" t="s">
        <v>10</v>
      </c>
      <c r="N41" s="3" t="s">
        <v>13</v>
      </c>
      <c r="O41" s="3" t="s">
        <v>16</v>
      </c>
      <c r="P41" s="3" t="s">
        <v>13</v>
      </c>
      <c r="Q41" s="3" t="s">
        <v>13</v>
      </c>
      <c r="R41" s="3" t="s">
        <v>24</v>
      </c>
      <c r="S41" s="3" t="s">
        <v>16</v>
      </c>
      <c r="T41" s="3" t="s">
        <v>16</v>
      </c>
      <c r="U41" s="3" t="s">
        <v>16</v>
      </c>
      <c r="V41" s="3" t="s">
        <v>13</v>
      </c>
      <c r="W41" s="3" t="s">
        <v>10</v>
      </c>
      <c r="X41" s="3" t="s">
        <v>16</v>
      </c>
      <c r="Y41" s="3" t="s">
        <v>13</v>
      </c>
      <c r="Z41" s="3" t="s">
        <v>24</v>
      </c>
      <c r="AA41" s="3" t="s">
        <v>10</v>
      </c>
      <c r="AB41" s="3" t="s">
        <v>24</v>
      </c>
      <c r="AC41" s="3" t="s">
        <v>10</v>
      </c>
      <c r="AD41" s="3" t="s">
        <v>13</v>
      </c>
      <c r="AE41" s="3" t="s">
        <v>43</v>
      </c>
      <c r="AF41" s="3" t="s">
        <v>10</v>
      </c>
      <c r="AG41" s="3" t="s">
        <v>243</v>
      </c>
      <c r="AH41" s="3" t="s">
        <v>10</v>
      </c>
      <c r="AI41" s="3" t="s">
        <v>43</v>
      </c>
      <c r="AJ41" s="3" t="s">
        <v>43</v>
      </c>
      <c r="AK41" s="3" t="s">
        <v>16</v>
      </c>
      <c r="AL41" s="3" t="s">
        <v>24</v>
      </c>
      <c r="AM41" s="3" t="s">
        <v>10</v>
      </c>
      <c r="AN41" s="3" t="s">
        <v>10</v>
      </c>
      <c r="AO41" s="3" t="s">
        <v>16</v>
      </c>
      <c r="AP41" s="3" t="s">
        <v>10</v>
      </c>
      <c r="AQ41" s="3" t="s">
        <v>10</v>
      </c>
      <c r="AR41" s="3" t="s">
        <v>43</v>
      </c>
      <c r="AS41" s="3" t="s">
        <v>16</v>
      </c>
      <c r="AT41" s="3" t="s">
        <v>13</v>
      </c>
      <c r="AU41" s="3" t="s">
        <v>16</v>
      </c>
      <c r="AV41" s="3" t="s">
        <v>13</v>
      </c>
      <c r="AW41" s="3" t="s">
        <v>43</v>
      </c>
      <c r="AX41" s="3" t="s">
        <v>24</v>
      </c>
      <c r="AY41" s="3" t="s">
        <v>10</v>
      </c>
      <c r="AZ41" s="3" t="s">
        <v>43</v>
      </c>
      <c r="BA41" s="3" t="s">
        <v>10</v>
      </c>
      <c r="BB41" s="3" t="s">
        <v>24</v>
      </c>
      <c r="BC41" s="3" t="s">
        <v>24</v>
      </c>
      <c r="BD41" s="3" t="s">
        <v>43</v>
      </c>
      <c r="BE41" s="3" t="s">
        <v>24</v>
      </c>
      <c r="BF41" s="3" t="s">
        <v>24</v>
      </c>
      <c r="BG41" s="3" t="s">
        <v>10</v>
      </c>
      <c r="BH41" s="3" t="s">
        <v>10</v>
      </c>
      <c r="BI41" s="3" t="s">
        <v>10</v>
      </c>
      <c r="BJ41" s="3" t="s">
        <v>13</v>
      </c>
      <c r="BK41" s="3" t="s">
        <v>16</v>
      </c>
      <c r="BL41" s="3" t="s">
        <v>43</v>
      </c>
      <c r="BM41" s="3" t="s">
        <v>10</v>
      </c>
      <c r="BN41" s="3" t="s">
        <v>24</v>
      </c>
      <c r="BO41" s="3" t="s">
        <v>24</v>
      </c>
      <c r="BP41" s="3" t="s">
        <v>24</v>
      </c>
      <c r="BQ41" s="3" t="s">
        <v>13</v>
      </c>
      <c r="BR41" s="3" t="s">
        <v>24</v>
      </c>
      <c r="BS41" s="3" t="s">
        <v>24</v>
      </c>
      <c r="BT41" s="3" t="s">
        <v>10</v>
      </c>
      <c r="BU41" s="3" t="s">
        <v>24</v>
      </c>
      <c r="BV41" s="3" t="s">
        <v>24</v>
      </c>
      <c r="BW41" s="3" t="s">
        <v>10</v>
      </c>
      <c r="BX41" s="3" t="s">
        <v>43</v>
      </c>
      <c r="BY41" s="3" t="s">
        <v>13</v>
      </c>
      <c r="BZ41" s="3" t="s">
        <v>13</v>
      </c>
      <c r="CA41" s="3" t="s">
        <v>24</v>
      </c>
      <c r="CB41" s="3" t="s">
        <v>13</v>
      </c>
      <c r="CC41" s="3" t="s">
        <v>43</v>
      </c>
      <c r="CD41" s="3" t="s">
        <v>10</v>
      </c>
      <c r="CE41" s="3" t="s">
        <v>10</v>
      </c>
      <c r="CF41" s="3" t="s">
        <v>10</v>
      </c>
      <c r="CG41" s="3" t="s">
        <v>43</v>
      </c>
      <c r="CH41" s="3" t="s">
        <v>13</v>
      </c>
      <c r="CI41" s="3" t="s">
        <v>13</v>
      </c>
      <c r="CJ41" s="3" t="s">
        <v>43</v>
      </c>
      <c r="CK41" s="3" t="s">
        <v>43</v>
      </c>
      <c r="CL41" s="3" t="s">
        <v>43</v>
      </c>
      <c r="CM41" s="3" t="s">
        <v>16</v>
      </c>
      <c r="CN41" s="3" t="s">
        <v>16</v>
      </c>
      <c r="CO41" s="3" t="s">
        <v>43</v>
      </c>
      <c r="CP41" s="3" t="s">
        <v>16</v>
      </c>
      <c r="CQ41" s="3" t="s">
        <v>43</v>
      </c>
      <c r="CR41" s="3" t="s">
        <v>16</v>
      </c>
      <c r="CS41" s="3" t="s">
        <v>13</v>
      </c>
      <c r="CT41" s="3" t="s">
        <v>24</v>
      </c>
      <c r="CU41" s="3" t="s">
        <v>24</v>
      </c>
      <c r="CV41" s="3" t="s">
        <v>10</v>
      </c>
      <c r="CW41" s="3" t="s">
        <v>43</v>
      </c>
      <c r="CX41" s="3" t="s">
        <v>24</v>
      </c>
      <c r="CY41" s="3" t="s">
        <v>43</v>
      </c>
      <c r="CZ41" s="3" t="s">
        <v>13</v>
      </c>
      <c r="DA41" s="3" t="s">
        <v>10</v>
      </c>
      <c r="DB41" s="3" t="s">
        <v>16</v>
      </c>
      <c r="DC41" s="3" t="s">
        <v>16</v>
      </c>
      <c r="DD41" s="3" t="s">
        <v>16</v>
      </c>
      <c r="DE41" s="3" t="s">
        <v>13</v>
      </c>
      <c r="DF41" s="3" t="s">
        <v>16</v>
      </c>
      <c r="DG41" s="3" t="s">
        <v>43</v>
      </c>
      <c r="DH41" s="3" t="s">
        <v>13</v>
      </c>
      <c r="DI41" s="3" t="s">
        <v>24</v>
      </c>
      <c r="DJ41" s="3" t="s">
        <v>16</v>
      </c>
      <c r="DK41" s="3" t="s">
        <v>43</v>
      </c>
      <c r="DL41" s="3" t="s">
        <v>24</v>
      </c>
      <c r="DM41" s="3" t="s">
        <v>10</v>
      </c>
      <c r="DN41" s="3" t="s">
        <v>13</v>
      </c>
      <c r="DO41" s="3" t="s">
        <v>16</v>
      </c>
      <c r="DP41" s="3" t="s">
        <v>43</v>
      </c>
      <c r="DQ41" s="3" t="s">
        <v>10</v>
      </c>
      <c r="DR41" s="3" t="s">
        <v>13</v>
      </c>
      <c r="DS41" s="3" t="s">
        <v>10</v>
      </c>
      <c r="DT41" s="3" t="s">
        <v>13</v>
      </c>
      <c r="DU41" s="3" t="s">
        <v>13</v>
      </c>
      <c r="DV41" s="3" t="s">
        <v>16</v>
      </c>
      <c r="DW41" s="3" t="s">
        <v>13</v>
      </c>
      <c r="DX41" s="3" t="s">
        <v>13</v>
      </c>
      <c r="DY41" s="3" t="s">
        <v>16</v>
      </c>
      <c r="DZ41" s="3" t="s">
        <v>16</v>
      </c>
      <c r="EA41" s="3" t="s">
        <v>10</v>
      </c>
      <c r="EB41" s="3" t="s">
        <v>24</v>
      </c>
      <c r="EC41" s="3" t="s">
        <v>13</v>
      </c>
      <c r="ED41" s="3" t="s">
        <v>43</v>
      </c>
      <c r="EE41" s="3" t="s">
        <v>13</v>
      </c>
      <c r="EF41" s="3" t="s">
        <v>10</v>
      </c>
      <c r="EG41" s="3" t="s">
        <v>10</v>
      </c>
      <c r="EH41" s="3" t="s">
        <v>10</v>
      </c>
      <c r="EI41" s="3" t="s">
        <v>10</v>
      </c>
      <c r="EJ41" s="3" t="s">
        <v>16</v>
      </c>
      <c r="EK41" s="3" t="s">
        <v>24</v>
      </c>
      <c r="EL41" s="3" t="s">
        <v>10</v>
      </c>
      <c r="EM41" s="3" t="s">
        <v>43</v>
      </c>
      <c r="EN41" s="3" t="s">
        <v>43</v>
      </c>
      <c r="EO41" s="3" t="s">
        <v>10</v>
      </c>
      <c r="EP41" s="3" t="s">
        <v>13</v>
      </c>
      <c r="EQ41" s="3" t="s">
        <v>43</v>
      </c>
      <c r="ER41" s="3" t="s">
        <v>16</v>
      </c>
      <c r="ES41" s="3" t="s">
        <v>16</v>
      </c>
      <c r="ET41" s="3" t="s">
        <v>43</v>
      </c>
      <c r="EU41" s="3" t="s">
        <v>13</v>
      </c>
      <c r="EV41" s="3" t="s">
        <v>43</v>
      </c>
      <c r="EW41" s="3" t="s">
        <v>16</v>
      </c>
      <c r="EX41" s="3" t="s">
        <v>24</v>
      </c>
      <c r="EY41" s="3" t="s">
        <v>10</v>
      </c>
      <c r="EZ41" s="3" t="s">
        <v>16</v>
      </c>
      <c r="FA41" s="3" t="s">
        <v>43</v>
      </c>
      <c r="FB41" s="3" t="s">
        <v>10</v>
      </c>
      <c r="FC41" s="3" t="s">
        <v>10</v>
      </c>
      <c r="FD41" s="3" t="s">
        <v>10</v>
      </c>
      <c r="FE41" s="3" t="s">
        <v>24</v>
      </c>
      <c r="FF41" s="3" t="s">
        <v>16</v>
      </c>
      <c r="FG41" s="3" t="s">
        <v>43</v>
      </c>
      <c r="FH41" s="3" t="s">
        <v>13</v>
      </c>
      <c r="FI41" s="3" t="s">
        <v>43</v>
      </c>
      <c r="FJ41" s="3" t="s">
        <v>16</v>
      </c>
      <c r="FK41" s="3" t="s">
        <v>24</v>
      </c>
      <c r="FL41" s="3" t="s">
        <v>24</v>
      </c>
      <c r="FM41" s="3" t="s">
        <v>10</v>
      </c>
      <c r="FN41" s="3" t="s">
        <v>13</v>
      </c>
      <c r="FO41" s="3" t="s">
        <v>43</v>
      </c>
      <c r="FP41" s="3" t="s">
        <v>43</v>
      </c>
      <c r="FQ41" s="3" t="s">
        <v>24</v>
      </c>
      <c r="FR41" s="3" t="s">
        <v>10</v>
      </c>
      <c r="FS41" s="3" t="s">
        <v>24</v>
      </c>
      <c r="FT41" s="3" t="s">
        <v>16</v>
      </c>
      <c r="FU41" s="3" t="s">
        <v>16</v>
      </c>
      <c r="FV41" s="3" t="s">
        <v>43</v>
      </c>
      <c r="FW41" s="3" t="s">
        <v>10</v>
      </c>
      <c r="FX41" s="3" t="s">
        <v>24</v>
      </c>
      <c r="FY41" s="3" t="s">
        <v>16</v>
      </c>
      <c r="FZ41" s="3" t="s">
        <v>43</v>
      </c>
      <c r="GA41" s="3" t="s">
        <v>43</v>
      </c>
      <c r="GB41" s="3" t="s">
        <v>10</v>
      </c>
      <c r="GC41" s="3" t="s">
        <v>16</v>
      </c>
      <c r="GD41" s="3" t="s">
        <v>10</v>
      </c>
      <c r="GE41" s="3" t="s">
        <v>10</v>
      </c>
      <c r="GF41" s="3" t="s">
        <v>16</v>
      </c>
      <c r="GG41" s="3" t="s">
        <v>10</v>
      </c>
      <c r="GH41" s="3" t="s">
        <v>16</v>
      </c>
      <c r="GI41" s="3" t="s">
        <v>24</v>
      </c>
      <c r="GJ41" s="3" t="s">
        <v>16</v>
      </c>
      <c r="GK41" s="3" t="s">
        <v>10</v>
      </c>
      <c r="GL41" s="3" t="s">
        <v>10</v>
      </c>
      <c r="GM41" s="3" t="s">
        <v>43</v>
      </c>
      <c r="GN41" s="3" t="s">
        <v>43</v>
      </c>
      <c r="GO41" s="3" t="s">
        <v>24</v>
      </c>
      <c r="GP41" s="3" t="s">
        <v>43</v>
      </c>
      <c r="GQ41" s="3" t="s">
        <v>16</v>
      </c>
      <c r="GR41" s="3" t="s">
        <v>10</v>
      </c>
      <c r="GS41" s="3" t="s">
        <v>43</v>
      </c>
      <c r="GT41" s="3" t="s">
        <v>43</v>
      </c>
      <c r="GU41" s="3" t="s">
        <v>24</v>
      </c>
      <c r="GV41" s="3" t="s">
        <v>24</v>
      </c>
      <c r="GW41" s="3" t="s">
        <v>16</v>
      </c>
      <c r="GX41" s="3" t="s">
        <v>10</v>
      </c>
      <c r="GY41" s="3" t="s">
        <v>24</v>
      </c>
      <c r="GZ41" s="3" t="s">
        <v>43</v>
      </c>
      <c r="HA41" s="3" t="s">
        <v>10</v>
      </c>
      <c r="HB41" s="3" t="s">
        <v>10</v>
      </c>
      <c r="HC41" s="3" t="s">
        <v>43</v>
      </c>
      <c r="HD41" s="3" t="s">
        <v>24</v>
      </c>
      <c r="HE41" s="3" t="s">
        <v>10</v>
      </c>
      <c r="HF41" s="3" t="s">
        <v>13</v>
      </c>
      <c r="HG41" s="3" t="s">
        <v>13</v>
      </c>
      <c r="HH41" s="3" t="s">
        <v>16</v>
      </c>
      <c r="HI41" s="3" t="s">
        <v>43</v>
      </c>
      <c r="HJ41" s="3" t="s">
        <v>43</v>
      </c>
      <c r="HK41" s="3" t="s">
        <v>16</v>
      </c>
      <c r="HL41" s="3" t="s">
        <v>16</v>
      </c>
      <c r="HM41" s="3" t="s">
        <v>16</v>
      </c>
      <c r="HN41" s="3" t="s">
        <v>10</v>
      </c>
      <c r="HO41" s="3" t="s">
        <v>43</v>
      </c>
      <c r="HP41" s="3" t="s">
        <v>10</v>
      </c>
    </row>
    <row r="42" spans="1:224" x14ac:dyDescent="0.25">
      <c r="A42" s="3">
        <v>43</v>
      </c>
      <c r="B42" s="3" t="s">
        <v>71</v>
      </c>
      <c r="C42" s="3" t="s">
        <v>10</v>
      </c>
      <c r="D42" s="3">
        <v>2021</v>
      </c>
      <c r="E42" s="3">
        <v>98</v>
      </c>
      <c r="F42" s="3">
        <v>5</v>
      </c>
      <c r="G42" s="3">
        <v>58045</v>
      </c>
      <c r="H42" s="3">
        <v>227.83</v>
      </c>
      <c r="I42" s="3" t="s">
        <v>17</v>
      </c>
      <c r="L42" s="1" t="s">
        <v>3</v>
      </c>
      <c r="M42" s="3">
        <v>2016</v>
      </c>
      <c r="N42" s="3">
        <v>2007</v>
      </c>
      <c r="O42" s="3">
        <v>2003</v>
      </c>
      <c r="P42" s="3">
        <v>2005</v>
      </c>
      <c r="Q42" s="3">
        <v>2007</v>
      </c>
      <c r="R42" s="3">
        <v>2019</v>
      </c>
      <c r="S42" s="3">
        <v>2002</v>
      </c>
      <c r="T42" s="3">
        <v>2015</v>
      </c>
      <c r="U42" s="3">
        <v>2002</v>
      </c>
      <c r="V42" s="3">
        <v>2017</v>
      </c>
      <c r="W42" s="3">
        <v>2013</v>
      </c>
      <c r="X42" s="3">
        <v>2017</v>
      </c>
      <c r="Y42" s="3">
        <v>2001</v>
      </c>
      <c r="Z42" s="3">
        <v>2021</v>
      </c>
      <c r="AA42" s="3">
        <v>2002</v>
      </c>
      <c r="AB42" s="3">
        <v>2015</v>
      </c>
      <c r="AC42" s="3">
        <v>2008</v>
      </c>
      <c r="AD42" s="3">
        <v>2003</v>
      </c>
      <c r="AE42" s="3">
        <v>2000</v>
      </c>
      <c r="AF42" s="3">
        <v>2003</v>
      </c>
      <c r="AG42" s="3">
        <v>2000</v>
      </c>
      <c r="AH42" s="3">
        <v>2020</v>
      </c>
      <c r="AI42" s="3">
        <v>2015</v>
      </c>
      <c r="AJ42" s="3">
        <v>2019</v>
      </c>
      <c r="AK42" s="3">
        <v>2007</v>
      </c>
      <c r="AL42" s="3">
        <v>2006</v>
      </c>
      <c r="AM42" s="3">
        <v>2002</v>
      </c>
      <c r="AN42" s="3">
        <v>2016</v>
      </c>
      <c r="AO42" s="3">
        <v>2000</v>
      </c>
      <c r="AP42" s="3">
        <v>2015</v>
      </c>
      <c r="AQ42" s="3">
        <v>2011</v>
      </c>
      <c r="AR42" s="3">
        <v>2018</v>
      </c>
      <c r="AS42" s="3">
        <v>2021</v>
      </c>
      <c r="AT42" s="3">
        <v>2022</v>
      </c>
      <c r="AU42" s="3">
        <v>2021</v>
      </c>
      <c r="AV42" s="3">
        <v>2013</v>
      </c>
      <c r="AW42" s="3">
        <v>2005</v>
      </c>
      <c r="AX42" s="3">
        <v>2005</v>
      </c>
      <c r="AY42" s="3">
        <v>2012</v>
      </c>
      <c r="AZ42" s="3">
        <v>2018</v>
      </c>
      <c r="BA42" s="3">
        <v>2021</v>
      </c>
      <c r="BB42" s="3">
        <v>2007</v>
      </c>
      <c r="BC42" s="3">
        <v>2001</v>
      </c>
      <c r="BD42" s="3">
        <v>2020</v>
      </c>
      <c r="BE42" s="3">
        <v>2000</v>
      </c>
      <c r="BF42" s="3">
        <v>2000</v>
      </c>
      <c r="BG42" s="3">
        <v>2004</v>
      </c>
      <c r="BH42" s="3">
        <v>2015</v>
      </c>
      <c r="BI42" s="3">
        <v>2018</v>
      </c>
      <c r="BJ42" s="3">
        <v>2002</v>
      </c>
      <c r="BK42" s="3">
        <v>2016</v>
      </c>
      <c r="BL42" s="3">
        <v>2016</v>
      </c>
      <c r="BM42" s="3">
        <v>2011</v>
      </c>
      <c r="BN42" s="3">
        <v>2013</v>
      </c>
      <c r="BO42" s="3">
        <v>2005</v>
      </c>
      <c r="BP42" s="3">
        <v>2002</v>
      </c>
      <c r="BQ42" s="3">
        <v>2004</v>
      </c>
      <c r="BR42" s="3">
        <v>2023</v>
      </c>
      <c r="BS42" s="3">
        <v>2016</v>
      </c>
      <c r="BT42" s="3">
        <v>2013</v>
      </c>
      <c r="BU42" s="3">
        <v>2020</v>
      </c>
      <c r="BV42" s="3">
        <v>2002</v>
      </c>
      <c r="BW42" s="3">
        <v>2019</v>
      </c>
      <c r="BX42" s="3">
        <v>2020</v>
      </c>
      <c r="BY42" s="3">
        <v>2022</v>
      </c>
      <c r="BZ42" s="3">
        <v>2000</v>
      </c>
      <c r="CA42" s="3">
        <v>2002</v>
      </c>
      <c r="CB42" s="3">
        <v>2017</v>
      </c>
      <c r="CC42" s="3">
        <v>2021</v>
      </c>
      <c r="CD42" s="3">
        <v>2002</v>
      </c>
      <c r="CE42" s="3">
        <v>2007</v>
      </c>
      <c r="CF42" s="3">
        <v>2013</v>
      </c>
      <c r="CG42" s="3">
        <v>2017</v>
      </c>
      <c r="CH42" s="3">
        <v>2014</v>
      </c>
      <c r="CI42" s="3">
        <v>2021</v>
      </c>
      <c r="CJ42" s="3">
        <v>2022</v>
      </c>
      <c r="CK42" s="3">
        <v>2001</v>
      </c>
      <c r="CL42" s="3">
        <v>2009</v>
      </c>
      <c r="CM42" s="3">
        <v>2007</v>
      </c>
      <c r="CN42" s="3">
        <v>2000</v>
      </c>
      <c r="CO42" s="3">
        <v>2008</v>
      </c>
      <c r="CP42" s="3">
        <v>2010</v>
      </c>
      <c r="CQ42" s="3">
        <v>2015</v>
      </c>
      <c r="CR42" s="3">
        <v>2006</v>
      </c>
      <c r="CS42" s="3">
        <v>2009</v>
      </c>
      <c r="CT42" s="3">
        <v>2022</v>
      </c>
      <c r="CU42" s="3">
        <v>2002</v>
      </c>
      <c r="CV42" s="3">
        <v>2023</v>
      </c>
      <c r="CW42" s="3">
        <v>2012</v>
      </c>
      <c r="CX42" s="3">
        <v>2003</v>
      </c>
      <c r="CY42" s="3">
        <v>2012</v>
      </c>
      <c r="CZ42" s="3">
        <v>2019</v>
      </c>
      <c r="DA42" s="3">
        <v>2007</v>
      </c>
      <c r="DB42" s="3">
        <v>2013</v>
      </c>
      <c r="DC42" s="3">
        <v>2015</v>
      </c>
      <c r="DD42" s="3">
        <v>2011</v>
      </c>
      <c r="DE42" s="3">
        <v>2018</v>
      </c>
      <c r="DF42" s="3">
        <v>2022</v>
      </c>
      <c r="DG42" s="3">
        <v>2014</v>
      </c>
      <c r="DH42" s="3">
        <v>2001</v>
      </c>
      <c r="DI42" s="3">
        <v>2001</v>
      </c>
      <c r="DJ42" s="3">
        <v>2022</v>
      </c>
      <c r="DK42" s="3">
        <v>2021</v>
      </c>
      <c r="DL42" s="3">
        <v>2021</v>
      </c>
      <c r="DM42" s="3">
        <v>2021</v>
      </c>
      <c r="DN42" s="3">
        <v>2016</v>
      </c>
      <c r="DO42" s="3">
        <v>2019</v>
      </c>
      <c r="DP42" s="3">
        <v>2009</v>
      </c>
      <c r="DQ42" s="3">
        <v>2005</v>
      </c>
      <c r="DR42" s="3">
        <v>2014</v>
      </c>
      <c r="DS42" s="3">
        <v>2021</v>
      </c>
      <c r="DT42" s="3">
        <v>2010</v>
      </c>
      <c r="DU42" s="3">
        <v>2004</v>
      </c>
      <c r="DV42" s="3">
        <v>2000</v>
      </c>
      <c r="DW42" s="3">
        <v>2007</v>
      </c>
      <c r="DX42" s="3">
        <v>2011</v>
      </c>
      <c r="DY42" s="3">
        <v>2011</v>
      </c>
      <c r="DZ42" s="3">
        <v>2004</v>
      </c>
      <c r="EA42" s="3">
        <v>2006</v>
      </c>
      <c r="EB42" s="3">
        <v>2005</v>
      </c>
      <c r="EC42" s="3">
        <v>2012</v>
      </c>
      <c r="ED42" s="3">
        <v>2019</v>
      </c>
      <c r="EE42" s="3">
        <v>2014</v>
      </c>
      <c r="EF42" s="3">
        <v>2002</v>
      </c>
      <c r="EG42" s="3">
        <v>2022</v>
      </c>
      <c r="EH42" s="3">
        <v>2007</v>
      </c>
      <c r="EI42" s="3">
        <v>2019</v>
      </c>
      <c r="EJ42" s="3">
        <v>2012</v>
      </c>
      <c r="EK42" s="3">
        <v>2017</v>
      </c>
      <c r="EL42" s="3">
        <v>2009</v>
      </c>
      <c r="EM42" s="3">
        <v>2018</v>
      </c>
      <c r="EN42" s="3">
        <v>2016</v>
      </c>
      <c r="EO42" s="3">
        <v>2020</v>
      </c>
      <c r="EP42" s="3">
        <v>2022</v>
      </c>
      <c r="EQ42" s="3">
        <v>2008</v>
      </c>
      <c r="ER42" s="3">
        <v>2011</v>
      </c>
      <c r="ES42" s="3">
        <v>2020</v>
      </c>
      <c r="ET42" s="3">
        <v>2000</v>
      </c>
      <c r="EU42" s="3">
        <v>2000</v>
      </c>
      <c r="EV42" s="3">
        <v>2014</v>
      </c>
      <c r="EW42" s="3">
        <v>2001</v>
      </c>
      <c r="EX42" s="3">
        <v>2021</v>
      </c>
      <c r="EY42" s="3">
        <v>2015</v>
      </c>
      <c r="EZ42" s="3">
        <v>2007</v>
      </c>
      <c r="FA42" s="3">
        <v>2012</v>
      </c>
      <c r="FB42" s="3">
        <v>2020</v>
      </c>
      <c r="FC42" s="3">
        <v>2004</v>
      </c>
      <c r="FD42" s="3">
        <v>2021</v>
      </c>
      <c r="FE42" s="3">
        <v>2022</v>
      </c>
      <c r="FF42" s="3">
        <v>2002</v>
      </c>
      <c r="FG42" s="3">
        <v>2011</v>
      </c>
      <c r="FH42" s="3">
        <v>2015</v>
      </c>
      <c r="FI42" s="3">
        <v>2018</v>
      </c>
      <c r="FJ42" s="3">
        <v>2021</v>
      </c>
      <c r="FK42" s="3">
        <v>2004</v>
      </c>
      <c r="FL42" s="3">
        <v>2014</v>
      </c>
      <c r="FM42" s="3">
        <v>2016</v>
      </c>
      <c r="FN42" s="3">
        <v>2013</v>
      </c>
      <c r="FO42" s="3">
        <v>2019</v>
      </c>
      <c r="FP42" s="3">
        <v>2004</v>
      </c>
      <c r="FQ42" s="3">
        <v>2015</v>
      </c>
      <c r="FR42" s="3">
        <v>2020</v>
      </c>
      <c r="FS42" s="3">
        <v>2006</v>
      </c>
      <c r="FT42" s="3">
        <v>2000</v>
      </c>
      <c r="FU42" s="3">
        <v>2004</v>
      </c>
      <c r="FV42" s="3">
        <v>2022</v>
      </c>
      <c r="FW42" s="3">
        <v>2021</v>
      </c>
      <c r="FX42" s="3">
        <v>2004</v>
      </c>
      <c r="FY42" s="3">
        <v>2003</v>
      </c>
      <c r="FZ42" s="3">
        <v>2001</v>
      </c>
      <c r="GA42" s="3">
        <v>2019</v>
      </c>
      <c r="GB42" s="3">
        <v>2009</v>
      </c>
      <c r="GC42" s="3">
        <v>2018</v>
      </c>
      <c r="GD42" s="3">
        <v>2004</v>
      </c>
      <c r="GE42" s="3">
        <v>2012</v>
      </c>
      <c r="GF42" s="3">
        <v>2003</v>
      </c>
      <c r="GG42" s="3">
        <v>2015</v>
      </c>
      <c r="GH42" s="3">
        <v>2023</v>
      </c>
      <c r="GI42" s="3">
        <v>2015</v>
      </c>
      <c r="GJ42" s="3">
        <v>2022</v>
      </c>
      <c r="GK42" s="3">
        <v>2016</v>
      </c>
      <c r="GL42" s="3">
        <v>2019</v>
      </c>
      <c r="GM42" s="3">
        <v>2023</v>
      </c>
      <c r="GN42" s="3">
        <v>2011</v>
      </c>
      <c r="GO42" s="3">
        <v>2017</v>
      </c>
      <c r="GP42" s="3">
        <v>2002</v>
      </c>
      <c r="GQ42" s="3">
        <v>2000</v>
      </c>
      <c r="GR42" s="3">
        <v>2000</v>
      </c>
      <c r="GS42" s="3">
        <v>2018</v>
      </c>
      <c r="GT42" s="3">
        <v>2010</v>
      </c>
      <c r="GU42" s="3">
        <v>2004</v>
      </c>
      <c r="GV42" s="3">
        <v>2011</v>
      </c>
      <c r="GW42" s="3">
        <v>2002</v>
      </c>
      <c r="GX42" s="3">
        <v>2000</v>
      </c>
      <c r="GY42" s="3">
        <v>2000</v>
      </c>
      <c r="GZ42" s="3">
        <v>2007</v>
      </c>
      <c r="HA42" s="3">
        <v>2009</v>
      </c>
      <c r="HB42" s="3">
        <v>2010</v>
      </c>
      <c r="HC42" s="3">
        <v>2011</v>
      </c>
      <c r="HD42" s="3">
        <v>2012</v>
      </c>
      <c r="HE42" s="3">
        <v>2013</v>
      </c>
      <c r="HF42" s="3">
        <v>2001</v>
      </c>
      <c r="HG42" s="3">
        <v>2018</v>
      </c>
      <c r="HH42" s="3">
        <v>2017</v>
      </c>
      <c r="HI42" s="3">
        <v>2002</v>
      </c>
      <c r="HJ42" s="3">
        <v>2022</v>
      </c>
      <c r="HK42" s="3">
        <v>2016</v>
      </c>
      <c r="HL42" s="3">
        <v>2007</v>
      </c>
      <c r="HM42" s="3">
        <v>2009</v>
      </c>
      <c r="HN42" s="3">
        <v>2001</v>
      </c>
      <c r="HO42" s="3">
        <v>2018</v>
      </c>
      <c r="HP42" s="3">
        <v>2008</v>
      </c>
    </row>
    <row r="43" spans="1:224" x14ac:dyDescent="0.25">
      <c r="A43" s="3">
        <v>44</v>
      </c>
      <c r="B43" s="3" t="s">
        <v>72</v>
      </c>
      <c r="C43" s="3" t="s">
        <v>24</v>
      </c>
      <c r="D43" s="3">
        <v>2007</v>
      </c>
      <c r="E43" s="3">
        <v>155</v>
      </c>
      <c r="F43" s="3">
        <v>6.8</v>
      </c>
      <c r="G43" s="3">
        <v>39724</v>
      </c>
      <c r="H43" s="3">
        <v>217.37</v>
      </c>
      <c r="I43" s="3" t="s">
        <v>11</v>
      </c>
      <c r="L43" s="1" t="s">
        <v>4</v>
      </c>
      <c r="M43" s="3">
        <v>147</v>
      </c>
      <c r="N43" s="3">
        <v>137</v>
      </c>
      <c r="O43" s="3">
        <v>154</v>
      </c>
      <c r="P43" s="3">
        <v>108</v>
      </c>
      <c r="Q43" s="3">
        <v>115</v>
      </c>
      <c r="R43" s="3">
        <v>168</v>
      </c>
      <c r="S43" s="3">
        <v>100</v>
      </c>
      <c r="T43" s="3">
        <v>115</v>
      </c>
      <c r="U43" s="3">
        <v>89</v>
      </c>
      <c r="V43" s="3">
        <v>152</v>
      </c>
      <c r="W43" s="3">
        <v>103</v>
      </c>
      <c r="X43" s="3">
        <v>143</v>
      </c>
      <c r="Y43" s="3">
        <v>178</v>
      </c>
      <c r="Z43" s="3">
        <v>128</v>
      </c>
      <c r="AA43" s="3">
        <v>178</v>
      </c>
      <c r="AB43" s="3">
        <v>115</v>
      </c>
      <c r="AC43" s="3">
        <v>161</v>
      </c>
      <c r="AD43" s="3">
        <v>175</v>
      </c>
      <c r="AE43" s="3">
        <v>103</v>
      </c>
      <c r="AF43" s="3">
        <v>102</v>
      </c>
      <c r="AG43" s="3">
        <v>141</v>
      </c>
      <c r="AH43" s="3">
        <v>116</v>
      </c>
      <c r="AI43" s="3">
        <v>91</v>
      </c>
      <c r="AJ43" s="3">
        <v>134</v>
      </c>
      <c r="AK43" s="3">
        <v>102</v>
      </c>
      <c r="AL43" s="3">
        <v>168</v>
      </c>
      <c r="AM43" s="3">
        <v>178</v>
      </c>
      <c r="AN43" s="3">
        <v>109</v>
      </c>
      <c r="AO43" s="3">
        <v>96</v>
      </c>
      <c r="AP43" s="3">
        <v>141</v>
      </c>
      <c r="AQ43" s="3">
        <v>163</v>
      </c>
      <c r="AR43" s="3">
        <v>168</v>
      </c>
      <c r="AS43" s="3">
        <v>165</v>
      </c>
      <c r="AT43" s="3">
        <v>92</v>
      </c>
      <c r="AU43" s="3">
        <v>138</v>
      </c>
      <c r="AV43" s="3">
        <v>98</v>
      </c>
      <c r="AW43" s="3">
        <v>128</v>
      </c>
      <c r="AX43" s="3">
        <v>179</v>
      </c>
      <c r="AY43" s="3">
        <v>91</v>
      </c>
      <c r="AZ43" s="3">
        <v>140</v>
      </c>
      <c r="BA43" s="3">
        <v>98</v>
      </c>
      <c r="BB43" s="3">
        <v>155</v>
      </c>
      <c r="BC43" s="3">
        <v>88</v>
      </c>
      <c r="BD43" s="3">
        <v>150</v>
      </c>
      <c r="BE43" s="3">
        <v>107</v>
      </c>
      <c r="BF43" s="3">
        <v>174</v>
      </c>
      <c r="BG43" s="3">
        <v>131</v>
      </c>
      <c r="BH43" s="3">
        <v>162</v>
      </c>
      <c r="BI43" s="3">
        <v>95</v>
      </c>
      <c r="BJ43" s="3">
        <v>178</v>
      </c>
      <c r="BK43" s="3">
        <v>91</v>
      </c>
      <c r="BL43" s="3">
        <v>104</v>
      </c>
      <c r="BM43" s="3">
        <v>131</v>
      </c>
      <c r="BN43" s="3">
        <v>164</v>
      </c>
      <c r="BO43" s="3">
        <v>132</v>
      </c>
      <c r="BP43" s="3">
        <v>102</v>
      </c>
      <c r="BQ43" s="3">
        <v>136</v>
      </c>
      <c r="BR43" s="3">
        <v>118</v>
      </c>
      <c r="BS43" s="3">
        <v>132</v>
      </c>
      <c r="BT43" s="3">
        <v>121</v>
      </c>
      <c r="BU43" s="3">
        <v>137</v>
      </c>
      <c r="BV43" s="3">
        <v>118</v>
      </c>
      <c r="BW43" s="3">
        <v>174</v>
      </c>
      <c r="BX43" s="3">
        <v>84</v>
      </c>
      <c r="BY43" s="3">
        <v>114</v>
      </c>
      <c r="BZ43" s="3">
        <v>166</v>
      </c>
      <c r="CA43" s="3">
        <v>172</v>
      </c>
      <c r="CB43" s="3">
        <v>154</v>
      </c>
      <c r="CC43" s="3">
        <v>155</v>
      </c>
      <c r="CD43" s="3">
        <v>88</v>
      </c>
      <c r="CE43" s="3">
        <v>153</v>
      </c>
      <c r="CF43" s="3">
        <v>137</v>
      </c>
      <c r="CG43" s="3">
        <v>86</v>
      </c>
      <c r="CH43" s="3">
        <v>125</v>
      </c>
      <c r="CI43" s="3">
        <v>92</v>
      </c>
      <c r="CJ43" s="3">
        <v>119</v>
      </c>
      <c r="CK43" s="3">
        <v>121</v>
      </c>
      <c r="CL43" s="3">
        <v>88</v>
      </c>
      <c r="CM43" s="3">
        <v>145</v>
      </c>
      <c r="CN43" s="3">
        <v>84</v>
      </c>
      <c r="CO43" s="3">
        <v>108</v>
      </c>
      <c r="CP43" s="3">
        <v>116</v>
      </c>
      <c r="CQ43" s="3">
        <v>162</v>
      </c>
      <c r="CR43" s="3">
        <v>87</v>
      </c>
      <c r="CS43" s="3">
        <v>144</v>
      </c>
      <c r="CT43" s="3">
        <v>165</v>
      </c>
      <c r="CU43" s="3">
        <v>96</v>
      </c>
      <c r="CV43" s="3">
        <v>168</v>
      </c>
      <c r="CW43" s="3">
        <v>124</v>
      </c>
      <c r="CX43" s="3">
        <v>115</v>
      </c>
      <c r="CY43" s="3">
        <v>149</v>
      </c>
      <c r="CZ43" s="3">
        <v>110</v>
      </c>
      <c r="DA43" s="3">
        <v>140</v>
      </c>
      <c r="DB43" s="3">
        <v>133</v>
      </c>
      <c r="DC43" s="3">
        <v>118</v>
      </c>
      <c r="DD43" s="3">
        <v>153</v>
      </c>
      <c r="DE43" s="3">
        <v>169</v>
      </c>
      <c r="DF43" s="3">
        <v>98</v>
      </c>
      <c r="DG43" s="3">
        <v>118</v>
      </c>
      <c r="DH43" s="3">
        <v>146</v>
      </c>
      <c r="DI43" s="3">
        <v>124</v>
      </c>
      <c r="DJ43" s="3">
        <v>92</v>
      </c>
      <c r="DK43" s="3">
        <v>171</v>
      </c>
      <c r="DL43" s="3">
        <v>99</v>
      </c>
      <c r="DM43" s="3">
        <v>171</v>
      </c>
      <c r="DN43" s="3">
        <v>151</v>
      </c>
      <c r="DO43" s="3">
        <v>140</v>
      </c>
      <c r="DP43" s="3">
        <v>118</v>
      </c>
      <c r="DQ43" s="3">
        <v>80</v>
      </c>
      <c r="DR43" s="3">
        <v>82</v>
      </c>
      <c r="DS43" s="3">
        <v>156</v>
      </c>
      <c r="DT43" s="3">
        <v>171</v>
      </c>
      <c r="DU43" s="3">
        <v>141</v>
      </c>
      <c r="DV43" s="3">
        <v>142</v>
      </c>
      <c r="DW43" s="3">
        <v>104</v>
      </c>
      <c r="DX43" s="3">
        <v>112</v>
      </c>
      <c r="DY43" s="3">
        <v>117</v>
      </c>
      <c r="DZ43" s="3">
        <v>85</v>
      </c>
      <c r="EA43" s="3">
        <v>137</v>
      </c>
      <c r="EB43" s="3">
        <v>124</v>
      </c>
      <c r="EC43" s="3">
        <v>111</v>
      </c>
      <c r="ED43" s="3">
        <v>124</v>
      </c>
      <c r="EE43" s="3">
        <v>140</v>
      </c>
      <c r="EF43" s="3">
        <v>126</v>
      </c>
      <c r="EG43" s="3">
        <v>100</v>
      </c>
      <c r="EH43" s="3">
        <v>159</v>
      </c>
      <c r="EI43" s="3">
        <v>164</v>
      </c>
      <c r="EJ43" s="3">
        <v>115</v>
      </c>
      <c r="EK43" s="3">
        <v>178</v>
      </c>
      <c r="EL43" s="3">
        <v>98</v>
      </c>
      <c r="EM43" s="3">
        <v>99</v>
      </c>
      <c r="EN43" s="3">
        <v>136</v>
      </c>
      <c r="EO43" s="3">
        <v>94</v>
      </c>
      <c r="EP43" s="3">
        <v>110</v>
      </c>
      <c r="EQ43" s="3">
        <v>80</v>
      </c>
      <c r="ER43" s="3">
        <v>133</v>
      </c>
      <c r="ES43" s="3">
        <v>82</v>
      </c>
      <c r="ET43" s="3">
        <v>95</v>
      </c>
      <c r="EU43" s="3">
        <v>166</v>
      </c>
      <c r="EV43" s="3">
        <v>136</v>
      </c>
      <c r="EW43" s="3">
        <v>154</v>
      </c>
      <c r="EX43" s="3">
        <v>91</v>
      </c>
      <c r="EY43" s="3">
        <v>153</v>
      </c>
      <c r="EZ43" s="3">
        <v>175</v>
      </c>
      <c r="FA43" s="3">
        <v>95</v>
      </c>
      <c r="FB43" s="3">
        <v>151</v>
      </c>
      <c r="FC43" s="3">
        <v>87</v>
      </c>
      <c r="FD43" s="3">
        <v>171</v>
      </c>
      <c r="FE43" s="3">
        <v>115</v>
      </c>
      <c r="FF43" s="3">
        <v>169</v>
      </c>
      <c r="FG43" s="3">
        <v>87</v>
      </c>
      <c r="FH43" s="3">
        <v>137</v>
      </c>
      <c r="FI43" s="3">
        <v>139</v>
      </c>
      <c r="FJ43" s="3">
        <v>107</v>
      </c>
      <c r="FK43" s="3">
        <v>120</v>
      </c>
      <c r="FL43" s="3">
        <v>179</v>
      </c>
      <c r="FM43" s="3">
        <v>143</v>
      </c>
      <c r="FN43" s="3">
        <v>106</v>
      </c>
      <c r="FO43" s="3">
        <v>142</v>
      </c>
      <c r="FP43" s="3">
        <v>96</v>
      </c>
      <c r="FQ43" s="3">
        <v>112</v>
      </c>
      <c r="FR43" s="3">
        <v>156</v>
      </c>
      <c r="FS43" s="3">
        <v>171</v>
      </c>
      <c r="FT43" s="3">
        <v>92</v>
      </c>
      <c r="FU43" s="3">
        <v>125</v>
      </c>
      <c r="FV43" s="3">
        <v>114</v>
      </c>
      <c r="FW43" s="3">
        <v>161</v>
      </c>
      <c r="FX43" s="3">
        <v>148</v>
      </c>
      <c r="FY43" s="3">
        <v>126</v>
      </c>
      <c r="FZ43" s="3">
        <v>104</v>
      </c>
      <c r="GA43" s="3">
        <v>145</v>
      </c>
      <c r="GB43" s="3">
        <v>89</v>
      </c>
      <c r="GC43" s="3">
        <v>135</v>
      </c>
      <c r="GD43" s="3">
        <v>112</v>
      </c>
      <c r="GE43" s="3">
        <v>144</v>
      </c>
      <c r="GF43" s="3">
        <v>97</v>
      </c>
      <c r="GG43" s="3">
        <v>175</v>
      </c>
      <c r="GH43" s="3">
        <v>128</v>
      </c>
      <c r="GI43" s="3">
        <v>90</v>
      </c>
      <c r="GJ43" s="3">
        <v>164</v>
      </c>
      <c r="GK43" s="3">
        <v>142</v>
      </c>
      <c r="GL43" s="3">
        <v>168</v>
      </c>
      <c r="GM43" s="3">
        <v>165</v>
      </c>
      <c r="GN43" s="3">
        <v>138</v>
      </c>
      <c r="GO43" s="3">
        <v>106</v>
      </c>
      <c r="GP43" s="3">
        <v>128</v>
      </c>
      <c r="GQ43" s="3">
        <v>156</v>
      </c>
      <c r="GR43" s="3">
        <v>112</v>
      </c>
      <c r="GS43" s="3">
        <v>177</v>
      </c>
      <c r="GT43" s="3">
        <v>178</v>
      </c>
      <c r="GU43" s="3">
        <v>80</v>
      </c>
      <c r="GV43" s="3">
        <v>100</v>
      </c>
      <c r="GW43" s="3">
        <v>134</v>
      </c>
      <c r="GX43" s="3">
        <v>85</v>
      </c>
      <c r="GY43" s="3">
        <v>171</v>
      </c>
      <c r="GZ43" s="3">
        <v>160</v>
      </c>
      <c r="HA43" s="3">
        <v>148</v>
      </c>
      <c r="HB43" s="3">
        <v>174</v>
      </c>
      <c r="HC43" s="3">
        <v>84</v>
      </c>
      <c r="HD43" s="3">
        <v>82</v>
      </c>
      <c r="HE43" s="3">
        <v>102</v>
      </c>
      <c r="HF43" s="3">
        <v>132</v>
      </c>
      <c r="HG43" s="3">
        <v>116</v>
      </c>
      <c r="HH43" s="3">
        <v>153</v>
      </c>
      <c r="HI43" s="3">
        <v>153</v>
      </c>
      <c r="HJ43" s="3">
        <v>162</v>
      </c>
      <c r="HK43" s="3">
        <v>96</v>
      </c>
      <c r="HL43" s="3">
        <v>164</v>
      </c>
      <c r="HM43" s="3">
        <v>157</v>
      </c>
      <c r="HN43" s="3">
        <v>152</v>
      </c>
      <c r="HO43" s="3">
        <v>80</v>
      </c>
      <c r="HP43" s="3">
        <v>130</v>
      </c>
    </row>
    <row r="44" spans="1:224" x14ac:dyDescent="0.25">
      <c r="A44" s="3">
        <v>45</v>
      </c>
      <c r="B44" s="3" t="s">
        <v>73</v>
      </c>
      <c r="C44" s="3" t="s">
        <v>24</v>
      </c>
      <c r="D44" s="3">
        <v>2001</v>
      </c>
      <c r="E44" s="3">
        <v>88</v>
      </c>
      <c r="F44" s="3">
        <v>4.4000000000000004</v>
      </c>
      <c r="G44" s="3">
        <v>98445</v>
      </c>
      <c r="H44" s="3">
        <v>191.35</v>
      </c>
      <c r="I44" s="3" t="s">
        <v>19</v>
      </c>
      <c r="L44" s="1" t="s">
        <v>5</v>
      </c>
      <c r="M44" s="3">
        <v>6.6</v>
      </c>
      <c r="N44" s="3">
        <v>4.4000000000000004</v>
      </c>
      <c r="O44" s="3">
        <v>7</v>
      </c>
      <c r="P44" s="3">
        <v>6.7</v>
      </c>
      <c r="Q44" s="3">
        <v>5.0999999999999996</v>
      </c>
      <c r="R44" s="3">
        <v>0</v>
      </c>
      <c r="S44" s="3">
        <v>7</v>
      </c>
      <c r="T44" s="3">
        <v>6.1</v>
      </c>
      <c r="U44" s="3">
        <v>7.6</v>
      </c>
      <c r="V44" s="3">
        <v>6.1</v>
      </c>
      <c r="W44" s="3">
        <v>8.1</v>
      </c>
      <c r="X44" s="3">
        <v>6.3</v>
      </c>
      <c r="Y44" s="3">
        <v>6.4</v>
      </c>
      <c r="Z44" s="3">
        <v>0</v>
      </c>
      <c r="AA44" s="3">
        <v>5.4</v>
      </c>
      <c r="AB44" s="3">
        <v>3.8</v>
      </c>
      <c r="AC44" s="3">
        <v>0</v>
      </c>
      <c r="AD44" s="3">
        <v>7.5</v>
      </c>
      <c r="AE44" s="3">
        <v>6.7</v>
      </c>
      <c r="AF44" s="3">
        <v>7.2</v>
      </c>
      <c r="AG44" s="3">
        <v>4.3</v>
      </c>
      <c r="AH44" s="3">
        <v>3.1</v>
      </c>
      <c r="AI44" s="3">
        <v>5.0999999999999996</v>
      </c>
      <c r="AJ44" s="3">
        <v>6.5</v>
      </c>
      <c r="AK44" s="3">
        <v>5.6</v>
      </c>
      <c r="AL44" s="3">
        <v>8.4</v>
      </c>
      <c r="AM44" s="3">
        <v>5.0999999999999996</v>
      </c>
      <c r="AN44" s="3">
        <v>6.1</v>
      </c>
      <c r="AO44" s="3">
        <v>7.7</v>
      </c>
      <c r="AP44" s="3">
        <v>0</v>
      </c>
      <c r="AQ44" s="3">
        <v>6.7</v>
      </c>
      <c r="AR44" s="3">
        <v>8.1999999999999993</v>
      </c>
      <c r="AS44" s="3">
        <v>8.6999999999999993</v>
      </c>
      <c r="AT44" s="3">
        <v>3.9</v>
      </c>
      <c r="AU44" s="3">
        <v>8.6</v>
      </c>
      <c r="AV44" s="3">
        <v>6</v>
      </c>
      <c r="AW44" s="3">
        <v>4.5</v>
      </c>
      <c r="AX44" s="3">
        <v>0</v>
      </c>
      <c r="AY44" s="3">
        <v>0</v>
      </c>
      <c r="AZ44" s="3">
        <v>6</v>
      </c>
      <c r="BA44" s="3">
        <v>5</v>
      </c>
      <c r="BB44" s="3">
        <v>6.8</v>
      </c>
      <c r="BC44" s="3">
        <v>4.4000000000000004</v>
      </c>
      <c r="BD44" s="3">
        <v>3.5</v>
      </c>
      <c r="BE44" s="3">
        <v>3.8</v>
      </c>
      <c r="BF44" s="3">
        <v>3.9</v>
      </c>
      <c r="BG44" s="3">
        <v>3.8</v>
      </c>
      <c r="BH44" s="3">
        <v>6.8</v>
      </c>
      <c r="BI44" s="3">
        <v>4.0999999999999996</v>
      </c>
      <c r="BJ44" s="3">
        <v>8.4</v>
      </c>
      <c r="BK44" s="3">
        <v>5.8</v>
      </c>
      <c r="BL44" s="3">
        <v>7</v>
      </c>
      <c r="BM44" s="3">
        <v>0</v>
      </c>
      <c r="BN44" s="3">
        <v>4.2</v>
      </c>
      <c r="BO44" s="3">
        <v>4</v>
      </c>
      <c r="BP44" s="3">
        <v>4.7</v>
      </c>
      <c r="BQ44" s="3">
        <v>3.5</v>
      </c>
      <c r="BR44" s="3">
        <v>0</v>
      </c>
      <c r="BS44" s="3">
        <v>5.8</v>
      </c>
      <c r="BT44" s="3">
        <v>4.2</v>
      </c>
      <c r="BU44" s="3">
        <v>5.2</v>
      </c>
      <c r="BV44" s="3">
        <v>6</v>
      </c>
      <c r="BW44" s="3">
        <v>3.2</v>
      </c>
      <c r="BX44" s="3">
        <v>7.8</v>
      </c>
      <c r="BY44" s="3">
        <v>6.8</v>
      </c>
      <c r="BZ44" s="3">
        <v>3.5</v>
      </c>
      <c r="CA44" s="3">
        <v>8.1999999999999993</v>
      </c>
      <c r="CB44" s="3">
        <v>8.5</v>
      </c>
      <c r="CC44" s="3">
        <v>4.7</v>
      </c>
      <c r="CD44" s="3">
        <v>7.8</v>
      </c>
      <c r="CE44" s="3">
        <v>7.5</v>
      </c>
      <c r="CF44" s="3">
        <v>4.0999999999999996</v>
      </c>
      <c r="CG44" s="3">
        <v>5.2</v>
      </c>
      <c r="CH44" s="3">
        <v>5.9</v>
      </c>
      <c r="CI44" s="3">
        <v>6.7</v>
      </c>
      <c r="CJ44" s="3">
        <v>5.2</v>
      </c>
      <c r="CK44" s="3">
        <v>5.8</v>
      </c>
      <c r="CL44" s="3">
        <v>7.5</v>
      </c>
      <c r="CM44" s="3">
        <v>7.3</v>
      </c>
      <c r="CN44" s="3">
        <v>0</v>
      </c>
      <c r="CO44" s="3">
        <v>6.1</v>
      </c>
      <c r="CP44" s="3">
        <v>6.2</v>
      </c>
      <c r="CQ44" s="3">
        <v>5.7</v>
      </c>
      <c r="CR44" s="3">
        <v>6.2</v>
      </c>
      <c r="CS44" s="3">
        <v>0</v>
      </c>
      <c r="CT44" s="3">
        <v>4.5999999999999996</v>
      </c>
      <c r="CU44" s="3">
        <v>5.3</v>
      </c>
      <c r="CV44" s="3">
        <v>4.9000000000000004</v>
      </c>
      <c r="CW44" s="3">
        <v>4.3</v>
      </c>
      <c r="CX44" s="3">
        <v>3.7</v>
      </c>
      <c r="CY44" s="3">
        <v>8.3000000000000007</v>
      </c>
      <c r="CZ44" s="3">
        <v>0</v>
      </c>
      <c r="DA44" s="3">
        <v>7.7</v>
      </c>
      <c r="DB44" s="3">
        <v>6</v>
      </c>
      <c r="DC44" s="3">
        <v>3.5</v>
      </c>
      <c r="DD44" s="3">
        <v>6.5</v>
      </c>
      <c r="DE44" s="3">
        <v>7.5</v>
      </c>
      <c r="DF44" s="3">
        <v>5.6</v>
      </c>
      <c r="DG44" s="3">
        <v>0</v>
      </c>
      <c r="DH44" s="3">
        <v>4.7</v>
      </c>
      <c r="DI44" s="3">
        <v>5.2</v>
      </c>
      <c r="DJ44" s="3">
        <v>0</v>
      </c>
      <c r="DK44" s="3">
        <v>6.4</v>
      </c>
      <c r="DL44" s="3">
        <v>8.9</v>
      </c>
      <c r="DM44" s="3">
        <v>6.6</v>
      </c>
      <c r="DN44" s="3">
        <v>4.4000000000000004</v>
      </c>
      <c r="DO44" s="3">
        <v>3.6</v>
      </c>
      <c r="DP44" s="3">
        <v>3.9</v>
      </c>
      <c r="DQ44" s="3">
        <v>4.5</v>
      </c>
      <c r="DR44" s="3">
        <v>4</v>
      </c>
      <c r="DS44" s="3">
        <v>4.0999999999999996</v>
      </c>
      <c r="DT44" s="3">
        <v>4.7</v>
      </c>
      <c r="DU44" s="3">
        <v>4</v>
      </c>
      <c r="DV44" s="3">
        <v>0</v>
      </c>
      <c r="DW44" s="3">
        <v>3.5</v>
      </c>
      <c r="DX44" s="3">
        <v>5.5</v>
      </c>
      <c r="DY44" s="3">
        <v>0</v>
      </c>
      <c r="DZ44" s="3">
        <v>3.7</v>
      </c>
      <c r="EA44" s="3">
        <v>5.4</v>
      </c>
      <c r="EB44" s="3">
        <v>8.1999999999999993</v>
      </c>
      <c r="EC44" s="3">
        <v>7.9</v>
      </c>
      <c r="ED44" s="3">
        <v>4.5</v>
      </c>
      <c r="EE44" s="3">
        <v>4</v>
      </c>
      <c r="EF44" s="3">
        <v>7</v>
      </c>
      <c r="EG44" s="3">
        <v>8.6</v>
      </c>
      <c r="EH44" s="3">
        <v>6.3</v>
      </c>
      <c r="EI44" s="3">
        <v>6.4</v>
      </c>
      <c r="EJ44" s="3">
        <v>7.6</v>
      </c>
      <c r="EK44" s="3">
        <v>4.0999999999999996</v>
      </c>
      <c r="EL44" s="3">
        <v>0</v>
      </c>
      <c r="EM44" s="3">
        <v>5.6</v>
      </c>
      <c r="EN44" s="3">
        <v>6</v>
      </c>
      <c r="EO44" s="3">
        <v>6.5</v>
      </c>
      <c r="EP44" s="3">
        <v>3.9</v>
      </c>
      <c r="EQ44" s="3">
        <v>5.9</v>
      </c>
      <c r="ER44" s="3">
        <v>6.2</v>
      </c>
      <c r="ES44" s="3">
        <v>3.3</v>
      </c>
      <c r="ET44" s="3">
        <v>5</v>
      </c>
      <c r="EU44" s="3">
        <v>0</v>
      </c>
      <c r="EV44" s="3">
        <v>3.4</v>
      </c>
      <c r="EW44" s="3">
        <v>8.9</v>
      </c>
      <c r="EX44" s="3">
        <v>4.9000000000000004</v>
      </c>
      <c r="EY44" s="3">
        <v>7.9</v>
      </c>
      <c r="EZ44" s="3">
        <v>4.5</v>
      </c>
      <c r="FA44" s="3">
        <v>7.1</v>
      </c>
      <c r="FB44" s="3">
        <v>0</v>
      </c>
      <c r="FC44" s="3">
        <v>5.0999999999999996</v>
      </c>
      <c r="FD44" s="3">
        <v>8.6</v>
      </c>
      <c r="FE44" s="3">
        <v>8</v>
      </c>
      <c r="FF44" s="3">
        <v>0</v>
      </c>
      <c r="FG44" s="3">
        <v>3.7</v>
      </c>
      <c r="FH44" s="3">
        <v>7.4</v>
      </c>
      <c r="FI44" s="3">
        <v>8.6</v>
      </c>
      <c r="FJ44" s="3">
        <v>3.4</v>
      </c>
      <c r="FK44" s="3">
        <v>6.4</v>
      </c>
      <c r="FL44" s="3">
        <v>8.1</v>
      </c>
      <c r="FM44" s="3">
        <v>0</v>
      </c>
      <c r="FN44" s="3">
        <v>7.8</v>
      </c>
      <c r="FO44" s="3">
        <v>0</v>
      </c>
      <c r="FP44" s="3">
        <v>4</v>
      </c>
      <c r="FQ44" s="3">
        <v>0</v>
      </c>
      <c r="FR44" s="3">
        <v>6.1</v>
      </c>
      <c r="FS44" s="3">
        <v>0</v>
      </c>
      <c r="FT44" s="3">
        <v>0</v>
      </c>
      <c r="FU44" s="3">
        <v>7.9</v>
      </c>
      <c r="FV44" s="3">
        <v>5.6</v>
      </c>
      <c r="FW44" s="3">
        <v>5.8</v>
      </c>
      <c r="FX44" s="3">
        <v>4.8</v>
      </c>
      <c r="FY44" s="3">
        <v>7.5</v>
      </c>
      <c r="FZ44" s="3">
        <v>6</v>
      </c>
      <c r="GA44" s="3">
        <v>4.4000000000000004</v>
      </c>
      <c r="GB44" s="3">
        <v>8.4</v>
      </c>
      <c r="GC44" s="3">
        <v>5.3</v>
      </c>
      <c r="GD44" s="3">
        <v>6.7</v>
      </c>
      <c r="GE44" s="3">
        <v>3.7</v>
      </c>
      <c r="GF44" s="3">
        <v>8.6</v>
      </c>
      <c r="GG44" s="3">
        <v>0</v>
      </c>
      <c r="GH44" s="3">
        <v>0</v>
      </c>
      <c r="GI44" s="3">
        <v>3.8</v>
      </c>
      <c r="GJ44" s="3">
        <v>0</v>
      </c>
      <c r="GK44" s="3">
        <v>6.2</v>
      </c>
      <c r="GL44" s="3">
        <v>8.4</v>
      </c>
      <c r="GM44" s="3">
        <v>7.7</v>
      </c>
      <c r="GN44" s="3">
        <v>3.9</v>
      </c>
      <c r="GO44" s="3">
        <v>4.9000000000000004</v>
      </c>
      <c r="GP44" s="3">
        <v>4.5</v>
      </c>
      <c r="GQ44" s="3">
        <v>7.5</v>
      </c>
      <c r="GR44" s="3">
        <v>3.2</v>
      </c>
      <c r="GS44" s="3">
        <v>0</v>
      </c>
      <c r="GT44" s="3">
        <v>7.6</v>
      </c>
      <c r="GU44" s="3">
        <v>0</v>
      </c>
      <c r="GV44" s="3">
        <v>5.0999999999999996</v>
      </c>
      <c r="GW44" s="3">
        <v>7.9</v>
      </c>
      <c r="GX44" s="3">
        <v>0</v>
      </c>
      <c r="GY44" s="3">
        <v>8.1</v>
      </c>
      <c r="GZ44" s="3">
        <v>3.8</v>
      </c>
      <c r="HA44" s="3">
        <v>5.4</v>
      </c>
      <c r="HB44" s="3">
        <v>7.8</v>
      </c>
      <c r="HC44" s="3">
        <v>0</v>
      </c>
      <c r="HD44" s="3">
        <v>4.4000000000000004</v>
      </c>
      <c r="HE44" s="3">
        <v>0</v>
      </c>
      <c r="HF44" s="3">
        <v>6.8</v>
      </c>
      <c r="HG44" s="3">
        <v>7.2</v>
      </c>
      <c r="HH44" s="3">
        <v>6.3</v>
      </c>
      <c r="HI44" s="3">
        <v>4.5</v>
      </c>
      <c r="HJ44" s="3">
        <v>5.0999999999999996</v>
      </c>
      <c r="HK44" s="3">
        <v>4.0999999999999996</v>
      </c>
      <c r="HL44" s="3">
        <v>8.5</v>
      </c>
      <c r="HM44" s="3">
        <v>6.5</v>
      </c>
      <c r="HN44" s="3">
        <v>5.4</v>
      </c>
      <c r="HO44" s="3">
        <v>5.8</v>
      </c>
      <c r="HP44" s="3">
        <v>0</v>
      </c>
    </row>
    <row r="45" spans="1:224" x14ac:dyDescent="0.25">
      <c r="A45" s="3">
        <v>46</v>
      </c>
      <c r="B45" s="3" t="s">
        <v>74</v>
      </c>
      <c r="C45" s="3" t="s">
        <v>43</v>
      </c>
      <c r="D45" s="3">
        <v>2020</v>
      </c>
      <c r="E45" s="3">
        <v>150</v>
      </c>
      <c r="F45" s="3">
        <v>3.5</v>
      </c>
      <c r="G45" s="3">
        <v>13724</v>
      </c>
      <c r="H45" s="3">
        <v>294.18</v>
      </c>
      <c r="I45" s="3" t="s">
        <v>11</v>
      </c>
      <c r="L45" s="1" t="s">
        <v>6</v>
      </c>
      <c r="M45" s="3">
        <v>76416</v>
      </c>
      <c r="N45" s="3">
        <v>73819</v>
      </c>
      <c r="O45" s="3">
        <v>17868</v>
      </c>
      <c r="P45" s="3">
        <v>15828</v>
      </c>
      <c r="Q45" s="3">
        <v>57442</v>
      </c>
      <c r="R45" s="3">
        <v>92251</v>
      </c>
      <c r="S45" s="3">
        <v>99631</v>
      </c>
      <c r="T45" s="3">
        <v>27806</v>
      </c>
      <c r="U45" s="3">
        <v>85951</v>
      </c>
      <c r="V45" s="3">
        <v>40415</v>
      </c>
      <c r="W45" s="3">
        <v>37719</v>
      </c>
      <c r="X45" s="3">
        <v>81379</v>
      </c>
      <c r="Y45" s="3">
        <v>65144</v>
      </c>
      <c r="Z45" s="3">
        <v>60779</v>
      </c>
      <c r="AA45" s="3">
        <v>53528</v>
      </c>
      <c r="AB45" s="3">
        <v>626</v>
      </c>
      <c r="AC45" s="3">
        <v>52829</v>
      </c>
      <c r="AD45" s="3">
        <v>28132</v>
      </c>
      <c r="AE45" s="3">
        <v>65810</v>
      </c>
      <c r="AF45" s="3">
        <v>55676</v>
      </c>
      <c r="AG45" s="3">
        <v>86566</v>
      </c>
      <c r="AH45" s="3">
        <v>69404</v>
      </c>
      <c r="AI45" s="3">
        <v>4297</v>
      </c>
      <c r="AJ45" s="3">
        <v>48382</v>
      </c>
      <c r="AK45" s="3">
        <v>35060</v>
      </c>
      <c r="AL45" s="3">
        <v>77089</v>
      </c>
      <c r="AM45" s="3">
        <v>22616</v>
      </c>
      <c r="AN45" s="3">
        <v>36744</v>
      </c>
      <c r="AO45" s="3">
        <v>2145</v>
      </c>
      <c r="AP45" s="3">
        <v>48023</v>
      </c>
      <c r="AQ45" s="3">
        <v>19756</v>
      </c>
      <c r="AR45" s="3">
        <v>53673</v>
      </c>
      <c r="AS45" s="3">
        <v>37930</v>
      </c>
      <c r="AT45" s="3">
        <v>39782</v>
      </c>
      <c r="AU45" s="3">
        <v>63874</v>
      </c>
      <c r="AV45" s="3">
        <v>68744</v>
      </c>
      <c r="AW45" s="3">
        <v>12194</v>
      </c>
      <c r="AX45" s="3">
        <v>56764</v>
      </c>
      <c r="AY45" s="3">
        <v>75560</v>
      </c>
      <c r="AZ45" s="3">
        <v>97916</v>
      </c>
      <c r="BA45" s="3">
        <v>58045</v>
      </c>
      <c r="BB45" s="3">
        <v>39724</v>
      </c>
      <c r="BC45" s="3">
        <v>98445</v>
      </c>
      <c r="BD45" s="3">
        <v>13724</v>
      </c>
      <c r="BE45" s="3">
        <v>41238</v>
      </c>
      <c r="BF45" s="3">
        <v>64231</v>
      </c>
      <c r="BG45" s="3">
        <v>50188</v>
      </c>
      <c r="BH45" s="3">
        <v>74009</v>
      </c>
      <c r="BI45" s="3">
        <v>9077</v>
      </c>
      <c r="BJ45" s="3">
        <v>9166</v>
      </c>
      <c r="BK45" s="3">
        <v>58261</v>
      </c>
      <c r="BL45" s="3">
        <v>36868</v>
      </c>
      <c r="BM45" s="3">
        <v>7283</v>
      </c>
      <c r="BN45" s="3">
        <v>42414</v>
      </c>
      <c r="BO45" s="3">
        <v>79526</v>
      </c>
      <c r="BP45" s="3">
        <v>68026</v>
      </c>
      <c r="BQ45" s="3">
        <v>46265</v>
      </c>
      <c r="BR45" s="3">
        <v>20456</v>
      </c>
      <c r="BS45" s="3">
        <v>88395</v>
      </c>
      <c r="BT45" s="3">
        <v>46740</v>
      </c>
      <c r="BU45" s="3">
        <v>37648</v>
      </c>
      <c r="BV45" s="3">
        <v>94770</v>
      </c>
      <c r="BW45" s="3">
        <v>19597</v>
      </c>
      <c r="BX45" s="3">
        <v>10895</v>
      </c>
      <c r="BY45" s="3">
        <v>16741</v>
      </c>
      <c r="BZ45" s="3">
        <v>28196</v>
      </c>
      <c r="CA45" s="3">
        <v>70980</v>
      </c>
      <c r="CB45" s="3">
        <v>46663</v>
      </c>
      <c r="CC45" s="3">
        <v>50340</v>
      </c>
      <c r="CD45" s="3">
        <v>53353</v>
      </c>
      <c r="CE45" s="3">
        <v>25417</v>
      </c>
      <c r="CF45" s="3">
        <v>97231</v>
      </c>
      <c r="CG45" s="3">
        <v>75952</v>
      </c>
      <c r="CH45" s="3">
        <v>63323</v>
      </c>
      <c r="CI45" s="3">
        <v>21306</v>
      </c>
      <c r="CJ45" s="3">
        <v>76020</v>
      </c>
      <c r="CK45" s="3">
        <v>2259</v>
      </c>
      <c r="CL45" s="3">
        <v>42449</v>
      </c>
      <c r="CM45" s="3">
        <v>24942</v>
      </c>
      <c r="CN45" s="3">
        <v>34219</v>
      </c>
      <c r="CO45" s="3">
        <v>58566</v>
      </c>
      <c r="CP45" s="3">
        <v>94001</v>
      </c>
      <c r="CQ45" s="3">
        <v>3217</v>
      </c>
      <c r="CR45" s="3">
        <v>60176</v>
      </c>
      <c r="CS45" s="3">
        <v>28452</v>
      </c>
      <c r="CT45" s="3">
        <v>86944</v>
      </c>
      <c r="CU45" s="3">
        <v>42960</v>
      </c>
      <c r="CV45" s="3">
        <v>73347</v>
      </c>
      <c r="CW45" s="3">
        <v>94107</v>
      </c>
      <c r="CX45" s="3">
        <v>18949</v>
      </c>
      <c r="CY45" s="3">
        <v>34036</v>
      </c>
      <c r="CZ45" s="3">
        <v>64577</v>
      </c>
      <c r="DA45" s="3">
        <v>48802</v>
      </c>
      <c r="DB45" s="3">
        <v>29365</v>
      </c>
      <c r="DC45" s="3">
        <v>7145</v>
      </c>
      <c r="DD45" s="3">
        <v>27237</v>
      </c>
      <c r="DE45" s="3">
        <v>11985</v>
      </c>
      <c r="DF45" s="3">
        <v>39065</v>
      </c>
      <c r="DG45" s="3">
        <v>26022</v>
      </c>
      <c r="DH45" s="3">
        <v>65655</v>
      </c>
      <c r="DI45" s="3">
        <v>55668</v>
      </c>
      <c r="DJ45" s="3">
        <v>52987</v>
      </c>
      <c r="DK45" s="3">
        <v>12842</v>
      </c>
      <c r="DL45" s="3">
        <v>49270</v>
      </c>
      <c r="DM45" s="3">
        <v>79123</v>
      </c>
      <c r="DN45" s="3">
        <v>76129</v>
      </c>
      <c r="DO45" s="3">
        <v>53103</v>
      </c>
      <c r="DP45" s="3">
        <v>82474</v>
      </c>
      <c r="DQ45" s="3">
        <v>26899</v>
      </c>
      <c r="DR45" s="3">
        <v>85882</v>
      </c>
      <c r="DS45" s="3">
        <v>81744</v>
      </c>
      <c r="DT45" s="3">
        <v>77034</v>
      </c>
      <c r="DU45" s="3">
        <v>55606</v>
      </c>
      <c r="DV45" s="3">
        <v>31178</v>
      </c>
      <c r="DW45" s="3">
        <v>76718</v>
      </c>
      <c r="DX45" s="3">
        <v>74555</v>
      </c>
      <c r="DY45" s="3">
        <v>56873</v>
      </c>
      <c r="DZ45" s="3">
        <v>31980</v>
      </c>
      <c r="EA45" s="3">
        <v>85730</v>
      </c>
      <c r="EB45" s="3">
        <v>72758</v>
      </c>
      <c r="EC45" s="3">
        <v>40486</v>
      </c>
      <c r="ED45" s="3">
        <v>24660</v>
      </c>
      <c r="EE45" s="3">
        <v>86095</v>
      </c>
      <c r="EF45" s="3">
        <v>79611</v>
      </c>
      <c r="EG45" s="3">
        <v>65429</v>
      </c>
      <c r="EH45" s="3">
        <v>74006</v>
      </c>
      <c r="EI45" s="3">
        <v>35411</v>
      </c>
      <c r="EJ45" s="3">
        <v>32321</v>
      </c>
      <c r="EK45" s="3">
        <v>75539</v>
      </c>
      <c r="EL45" s="3">
        <v>61035</v>
      </c>
      <c r="EM45" s="3">
        <v>84958</v>
      </c>
      <c r="EN45" s="3">
        <v>12675</v>
      </c>
      <c r="EO45" s="3">
        <v>47557</v>
      </c>
      <c r="EP45" s="3">
        <v>6650</v>
      </c>
      <c r="EQ45" s="3">
        <v>4925</v>
      </c>
      <c r="ER45" s="3">
        <v>16532</v>
      </c>
      <c r="ES45" s="3">
        <v>2698</v>
      </c>
      <c r="ET45" s="3">
        <v>61000</v>
      </c>
      <c r="EU45" s="3">
        <v>53894</v>
      </c>
      <c r="EV45" s="3">
        <v>20579</v>
      </c>
      <c r="EW45" s="3">
        <v>36720</v>
      </c>
      <c r="EX45" s="3">
        <v>42374</v>
      </c>
      <c r="EY45" s="3">
        <v>14359</v>
      </c>
      <c r="EZ45" s="3">
        <v>50960</v>
      </c>
      <c r="FA45" s="3">
        <v>31919</v>
      </c>
      <c r="FB45" s="3">
        <v>9205</v>
      </c>
      <c r="FC45" s="3">
        <v>86014</v>
      </c>
      <c r="FD45" s="3">
        <v>15858</v>
      </c>
      <c r="FE45" s="3">
        <v>95414</v>
      </c>
      <c r="FF45" s="3">
        <v>77418</v>
      </c>
      <c r="FG45" s="3">
        <v>15096</v>
      </c>
      <c r="FH45" s="3">
        <v>34072</v>
      </c>
      <c r="FI45" s="3">
        <v>79257</v>
      </c>
      <c r="FJ45" s="3">
        <v>63697</v>
      </c>
      <c r="FK45" s="3">
        <v>7583</v>
      </c>
      <c r="FL45" s="3">
        <v>18271</v>
      </c>
      <c r="FM45" s="3">
        <v>30475</v>
      </c>
      <c r="FN45" s="3">
        <v>46148</v>
      </c>
      <c r="FO45" s="3">
        <v>48785</v>
      </c>
      <c r="FP45" s="3">
        <v>19563</v>
      </c>
      <c r="FQ45" s="3">
        <v>90593</v>
      </c>
      <c r="FR45" s="3">
        <v>38099</v>
      </c>
      <c r="FS45" s="3">
        <v>52420</v>
      </c>
      <c r="FT45" s="3">
        <v>36454</v>
      </c>
      <c r="FU45" s="3">
        <v>28356</v>
      </c>
      <c r="FV45" s="3">
        <v>3073</v>
      </c>
      <c r="FW45" s="3">
        <v>35867</v>
      </c>
      <c r="FX45" s="3">
        <v>61274</v>
      </c>
      <c r="FY45" s="3">
        <v>24252</v>
      </c>
      <c r="FZ45" s="3">
        <v>55529</v>
      </c>
      <c r="GA45" s="3">
        <v>18185</v>
      </c>
      <c r="GB45" s="3">
        <v>52193</v>
      </c>
      <c r="GC45" s="3">
        <v>56461</v>
      </c>
      <c r="GD45" s="3">
        <v>82494</v>
      </c>
      <c r="GE45" s="3">
        <v>56633</v>
      </c>
      <c r="GF45" s="3">
        <v>97925</v>
      </c>
      <c r="GG45" s="3">
        <v>61768</v>
      </c>
      <c r="GH45" s="3">
        <v>92701</v>
      </c>
      <c r="GI45" s="3">
        <v>38743</v>
      </c>
      <c r="GJ45" s="3">
        <v>57884</v>
      </c>
      <c r="GK45" s="3">
        <v>27157</v>
      </c>
      <c r="GL45" s="3">
        <v>40452</v>
      </c>
      <c r="GM45" s="3">
        <v>22680</v>
      </c>
      <c r="GN45" s="3">
        <v>97932</v>
      </c>
      <c r="GO45" s="3">
        <v>78911</v>
      </c>
      <c r="GP45" s="3">
        <v>2122</v>
      </c>
      <c r="GQ45" s="3">
        <v>49256</v>
      </c>
      <c r="GR45" s="3">
        <v>41309</v>
      </c>
      <c r="GS45" s="3">
        <v>17225</v>
      </c>
      <c r="GT45" s="3">
        <v>61896</v>
      </c>
      <c r="GU45" s="3">
        <v>51726</v>
      </c>
      <c r="GV45" s="3">
        <v>81682</v>
      </c>
      <c r="GW45" s="3">
        <v>83065</v>
      </c>
      <c r="GX45" s="3">
        <v>29902</v>
      </c>
      <c r="GY45" s="3">
        <v>4763</v>
      </c>
      <c r="GZ45" s="3">
        <v>97023</v>
      </c>
      <c r="HA45" s="3">
        <v>47328</v>
      </c>
      <c r="HB45" s="3">
        <v>48424</v>
      </c>
      <c r="HC45" s="3">
        <v>74682</v>
      </c>
      <c r="HD45" s="3">
        <v>93565</v>
      </c>
      <c r="HE45" s="3">
        <v>12164</v>
      </c>
      <c r="HF45" s="3">
        <v>36237</v>
      </c>
      <c r="HG45" s="3">
        <v>90063</v>
      </c>
      <c r="HH45" s="3">
        <v>29873</v>
      </c>
      <c r="HI45" s="3">
        <v>36897</v>
      </c>
      <c r="HJ45" s="3">
        <v>86645</v>
      </c>
      <c r="HK45" s="3">
        <v>39209</v>
      </c>
      <c r="HL45" s="3">
        <v>61620</v>
      </c>
      <c r="HM45" s="3">
        <v>19750</v>
      </c>
      <c r="HN45" s="3">
        <v>21672</v>
      </c>
      <c r="HO45" s="3">
        <v>12055</v>
      </c>
      <c r="HP45" s="3">
        <v>87910</v>
      </c>
    </row>
    <row r="46" spans="1:224" x14ac:dyDescent="0.25">
      <c r="A46" s="3">
        <v>47</v>
      </c>
      <c r="B46" s="3" t="s">
        <v>75</v>
      </c>
      <c r="C46" s="3" t="s">
        <v>24</v>
      </c>
      <c r="D46" s="3">
        <v>2000</v>
      </c>
      <c r="E46" s="3">
        <v>107</v>
      </c>
      <c r="F46" s="3">
        <v>3.8</v>
      </c>
      <c r="G46" s="3">
        <v>41238</v>
      </c>
      <c r="H46" s="3">
        <v>271.06</v>
      </c>
      <c r="I46" s="3" t="s">
        <v>19</v>
      </c>
      <c r="L46" s="1" t="s">
        <v>7</v>
      </c>
      <c r="M46" s="3">
        <v>0</v>
      </c>
      <c r="N46" s="3">
        <v>251.21</v>
      </c>
      <c r="O46" s="3">
        <v>131.44</v>
      </c>
      <c r="P46" s="3">
        <v>274.7</v>
      </c>
      <c r="Q46" s="3">
        <v>216.6</v>
      </c>
      <c r="R46" s="3">
        <v>183.32</v>
      </c>
      <c r="S46" s="3">
        <v>284.82</v>
      </c>
      <c r="T46" s="3">
        <v>119.3</v>
      </c>
      <c r="U46" s="3">
        <v>286.25</v>
      </c>
      <c r="V46" s="3">
        <v>40.93</v>
      </c>
      <c r="W46" s="3">
        <v>9999.99</v>
      </c>
      <c r="X46" s="3">
        <v>81.34</v>
      </c>
      <c r="Y46" s="3">
        <v>162.18</v>
      </c>
      <c r="Z46" s="3">
        <v>49.02</v>
      </c>
      <c r="AA46" s="3">
        <v>252.54</v>
      </c>
      <c r="AB46" s="3">
        <v>254</v>
      </c>
      <c r="AC46" s="3">
        <v>286.58999999999997</v>
      </c>
      <c r="AD46" s="3">
        <v>46.82</v>
      </c>
      <c r="AE46" s="3">
        <v>187.19</v>
      </c>
      <c r="AF46" s="3">
        <v>142.53</v>
      </c>
      <c r="AG46" s="3">
        <v>103.64</v>
      </c>
      <c r="AH46" s="3">
        <v>124.13</v>
      </c>
      <c r="AI46" s="3">
        <v>211.63</v>
      </c>
      <c r="AJ46" s="3">
        <v>179.69</v>
      </c>
      <c r="AK46" s="3">
        <v>23.24</v>
      </c>
      <c r="AL46" s="3">
        <v>23.79</v>
      </c>
      <c r="AM46" s="3">
        <v>1.2</v>
      </c>
      <c r="AN46" s="3">
        <v>290.33</v>
      </c>
      <c r="AO46" s="3">
        <v>2.0699999999999998</v>
      </c>
      <c r="AP46" s="3">
        <v>31.38</v>
      </c>
      <c r="AQ46" s="3">
        <v>94.72</v>
      </c>
      <c r="AR46" s="3">
        <v>242.33</v>
      </c>
      <c r="AS46" s="3">
        <v>288.64999999999998</v>
      </c>
      <c r="AT46" s="3">
        <v>237.11</v>
      </c>
      <c r="AU46" s="3">
        <v>207.32</v>
      </c>
      <c r="AV46" s="3">
        <v>156.63</v>
      </c>
      <c r="AW46" s="3">
        <v>26.47</v>
      </c>
      <c r="AX46" s="3">
        <v>287.47000000000003</v>
      </c>
      <c r="AY46" s="3">
        <v>227.64</v>
      </c>
      <c r="AZ46" s="3">
        <v>191.87</v>
      </c>
      <c r="BA46" s="3">
        <v>227.83</v>
      </c>
      <c r="BB46" s="3">
        <v>217.37</v>
      </c>
      <c r="BC46" s="3">
        <v>191.35</v>
      </c>
      <c r="BD46" s="3">
        <v>294.18</v>
      </c>
      <c r="BE46" s="3">
        <v>271.06</v>
      </c>
      <c r="BF46" s="3">
        <v>208.11</v>
      </c>
      <c r="BG46" s="3">
        <v>15.95</v>
      </c>
      <c r="BH46" s="3">
        <v>201.14</v>
      </c>
      <c r="BI46" s="3">
        <v>13.73</v>
      </c>
      <c r="BJ46" s="3">
        <v>299.81</v>
      </c>
      <c r="BK46" s="3">
        <v>166.96</v>
      </c>
      <c r="BL46" s="3">
        <v>142.22999999999999</v>
      </c>
      <c r="BM46" s="3">
        <v>94.2</v>
      </c>
      <c r="BN46" s="3">
        <v>36.6</v>
      </c>
      <c r="BO46" s="3">
        <v>58.18</v>
      </c>
      <c r="BP46" s="3">
        <v>35.03</v>
      </c>
      <c r="BQ46" s="3">
        <v>238.7</v>
      </c>
      <c r="BR46" s="3">
        <v>223.65</v>
      </c>
      <c r="BS46" s="3">
        <v>16.940000000000001</v>
      </c>
      <c r="BT46" s="3">
        <v>136.82</v>
      </c>
      <c r="BU46" s="3">
        <v>156.97</v>
      </c>
      <c r="BV46" s="3">
        <v>193.54</v>
      </c>
      <c r="BW46" s="3">
        <v>109.73</v>
      </c>
      <c r="BX46" s="3">
        <v>168.42</v>
      </c>
      <c r="BY46" s="3">
        <v>144.58000000000001</v>
      </c>
      <c r="BZ46" s="3">
        <v>265.56</v>
      </c>
      <c r="CA46" s="3">
        <v>159.31</v>
      </c>
      <c r="CB46" s="3">
        <v>132.59</v>
      </c>
      <c r="CC46" s="3">
        <v>171.94</v>
      </c>
      <c r="CD46" s="3">
        <v>241.29</v>
      </c>
      <c r="CE46" s="3">
        <v>161.75</v>
      </c>
      <c r="CF46" s="3">
        <v>198.67</v>
      </c>
      <c r="CG46" s="3">
        <v>156.29</v>
      </c>
      <c r="CH46" s="3">
        <v>128.33000000000001</v>
      </c>
      <c r="CI46" s="3">
        <v>263.06</v>
      </c>
      <c r="CJ46" s="3">
        <v>125.54</v>
      </c>
      <c r="CK46" s="3">
        <v>138.85</v>
      </c>
      <c r="CL46" s="3">
        <v>297.11</v>
      </c>
      <c r="CM46" s="3">
        <v>115.5</v>
      </c>
      <c r="CN46" s="3">
        <v>279.81</v>
      </c>
      <c r="CO46" s="3">
        <v>21.47</v>
      </c>
      <c r="CP46" s="3">
        <v>3.34</v>
      </c>
      <c r="CQ46" s="3">
        <v>27.02</v>
      </c>
      <c r="CR46" s="3">
        <v>11.76</v>
      </c>
      <c r="CS46" s="3">
        <v>144.19</v>
      </c>
      <c r="CT46" s="3">
        <v>174.44</v>
      </c>
      <c r="CU46" s="3">
        <v>81.87</v>
      </c>
      <c r="CV46" s="3">
        <v>27.96</v>
      </c>
      <c r="CW46" s="3">
        <v>101.24</v>
      </c>
      <c r="CX46" s="3">
        <v>219.82</v>
      </c>
      <c r="CY46" s="3">
        <v>1.5</v>
      </c>
      <c r="CZ46" s="3">
        <v>140.46</v>
      </c>
      <c r="DA46" s="3">
        <v>255.92</v>
      </c>
      <c r="DB46" s="3">
        <v>214.81</v>
      </c>
      <c r="DC46" s="3">
        <v>176.94</v>
      </c>
      <c r="DD46" s="3">
        <v>273.14999999999998</v>
      </c>
      <c r="DE46" s="3">
        <v>14.01</v>
      </c>
      <c r="DF46" s="3">
        <v>33.29</v>
      </c>
      <c r="DG46" s="3">
        <v>117.79</v>
      </c>
      <c r="DH46" s="3">
        <v>37.770000000000003</v>
      </c>
      <c r="DI46" s="3">
        <v>286.95</v>
      </c>
      <c r="DJ46" s="3">
        <v>239.5</v>
      </c>
      <c r="DK46" s="3">
        <v>78.069999999999993</v>
      </c>
      <c r="DL46" s="3">
        <v>294.70999999999998</v>
      </c>
      <c r="DM46" s="3">
        <v>265.32</v>
      </c>
      <c r="DN46" s="3">
        <v>180.44</v>
      </c>
      <c r="DO46" s="3">
        <v>271.17</v>
      </c>
      <c r="DP46" s="3">
        <v>296.76</v>
      </c>
      <c r="DQ46" s="3">
        <v>223.13</v>
      </c>
      <c r="DR46" s="3">
        <v>19.96</v>
      </c>
      <c r="DS46" s="3">
        <v>120.77</v>
      </c>
      <c r="DT46" s="3">
        <v>251.43</v>
      </c>
      <c r="DU46" s="3">
        <v>69.56</v>
      </c>
      <c r="DV46" s="3">
        <v>249.28</v>
      </c>
      <c r="DW46" s="3">
        <v>36.54</v>
      </c>
      <c r="DX46" s="3">
        <v>115.54</v>
      </c>
      <c r="DY46" s="3">
        <v>11.5</v>
      </c>
      <c r="DZ46" s="3">
        <v>287.2</v>
      </c>
      <c r="EA46" s="3">
        <v>247.95</v>
      </c>
      <c r="EB46" s="3">
        <v>189.12</v>
      </c>
      <c r="EC46" s="3">
        <v>65.290000000000006</v>
      </c>
      <c r="ED46" s="3">
        <v>155.72</v>
      </c>
      <c r="EE46" s="3">
        <v>179.38</v>
      </c>
      <c r="EF46" s="3">
        <v>157.75</v>
      </c>
      <c r="EG46" s="3">
        <v>78.44</v>
      </c>
      <c r="EH46" s="3">
        <v>154.82</v>
      </c>
      <c r="EI46" s="3">
        <v>147.61000000000001</v>
      </c>
      <c r="EJ46" s="3">
        <v>269.27999999999997</v>
      </c>
      <c r="EK46" s="3">
        <v>139.28</v>
      </c>
      <c r="EL46" s="3">
        <v>187.07</v>
      </c>
      <c r="EM46" s="3">
        <v>224.49</v>
      </c>
      <c r="EN46" s="3">
        <v>10.94</v>
      </c>
      <c r="EO46" s="3">
        <v>82.25</v>
      </c>
      <c r="EP46" s="3">
        <v>143.26</v>
      </c>
      <c r="EQ46" s="3">
        <v>13.79</v>
      </c>
      <c r="ER46" s="3">
        <v>255.73</v>
      </c>
      <c r="ES46" s="3">
        <v>11.11</v>
      </c>
      <c r="ET46" s="3">
        <v>99.05</v>
      </c>
      <c r="EU46" s="3">
        <v>279.51</v>
      </c>
      <c r="EV46" s="3">
        <v>220.7</v>
      </c>
      <c r="EW46" s="3">
        <v>84.78</v>
      </c>
      <c r="EX46" s="3">
        <v>76.17</v>
      </c>
      <c r="EY46" s="3">
        <v>2.02</v>
      </c>
      <c r="EZ46" s="3">
        <v>208.87</v>
      </c>
      <c r="FA46" s="3">
        <v>15.11</v>
      </c>
      <c r="FB46" s="3">
        <v>160.01</v>
      </c>
      <c r="FC46" s="3">
        <v>297.45</v>
      </c>
      <c r="FD46" s="3">
        <v>18.920000000000002</v>
      </c>
      <c r="FE46" s="3">
        <v>264.93</v>
      </c>
      <c r="FF46" s="3">
        <v>155.07</v>
      </c>
      <c r="FG46" s="3">
        <v>272</v>
      </c>
      <c r="FH46" s="3">
        <v>171.61</v>
      </c>
      <c r="FI46" s="3">
        <v>198.8</v>
      </c>
      <c r="FJ46" s="3">
        <v>259.42</v>
      </c>
      <c r="FK46" s="3">
        <v>156.62</v>
      </c>
      <c r="FL46" s="3">
        <v>260.51</v>
      </c>
      <c r="FM46" s="3">
        <v>73.959999999999994</v>
      </c>
      <c r="FN46" s="3">
        <v>47.62</v>
      </c>
      <c r="FO46" s="3">
        <v>48.54</v>
      </c>
      <c r="FP46" s="3">
        <v>100.54</v>
      </c>
      <c r="FQ46" s="3">
        <v>279.06</v>
      </c>
      <c r="FR46" s="3">
        <v>209.85</v>
      </c>
      <c r="FS46" s="3">
        <v>57.17</v>
      </c>
      <c r="FT46" s="3">
        <v>288.41000000000003</v>
      </c>
      <c r="FU46" s="3">
        <v>139.91</v>
      </c>
      <c r="FV46" s="3">
        <v>263.77999999999997</v>
      </c>
      <c r="FW46" s="3">
        <v>246.07</v>
      </c>
      <c r="FX46" s="3">
        <v>68.97</v>
      </c>
      <c r="FY46" s="3">
        <v>272.66000000000003</v>
      </c>
      <c r="FZ46" s="3">
        <v>0.84</v>
      </c>
      <c r="GA46" s="3">
        <v>167.08</v>
      </c>
      <c r="GB46" s="3">
        <v>227.11</v>
      </c>
      <c r="GC46" s="3">
        <v>77.98</v>
      </c>
      <c r="GD46" s="3">
        <v>98.27</v>
      </c>
      <c r="GE46" s="3">
        <v>168.17</v>
      </c>
      <c r="GF46" s="3">
        <v>35.200000000000003</v>
      </c>
      <c r="GG46" s="3">
        <v>113.32</v>
      </c>
      <c r="GH46" s="3">
        <v>3.22</v>
      </c>
      <c r="GI46" s="3">
        <v>245.69</v>
      </c>
      <c r="GJ46" s="3">
        <v>38.97</v>
      </c>
      <c r="GK46" s="3">
        <v>6.02</v>
      </c>
      <c r="GL46" s="3">
        <v>129.96</v>
      </c>
      <c r="GM46" s="3">
        <v>252.12</v>
      </c>
      <c r="GN46" s="3">
        <v>117.95</v>
      </c>
      <c r="GO46" s="3">
        <v>54.26</v>
      </c>
      <c r="GP46" s="3">
        <v>226.23</v>
      </c>
      <c r="GQ46" s="3">
        <v>236.75</v>
      </c>
      <c r="GR46" s="3">
        <v>52.54</v>
      </c>
      <c r="GS46" s="3">
        <v>231.37</v>
      </c>
      <c r="GT46" s="3">
        <v>284.22000000000003</v>
      </c>
      <c r="GU46" s="3">
        <v>50.33</v>
      </c>
      <c r="GV46" s="3">
        <v>231.41</v>
      </c>
      <c r="GW46" s="3">
        <v>212.72</v>
      </c>
      <c r="GX46" s="3">
        <v>142.34</v>
      </c>
      <c r="GY46" s="3">
        <v>17.850000000000001</v>
      </c>
      <c r="GZ46" s="3">
        <v>22.87</v>
      </c>
      <c r="HA46" s="3">
        <v>255.8</v>
      </c>
      <c r="HB46" s="3">
        <v>297.05</v>
      </c>
      <c r="HC46" s="3">
        <v>202.98</v>
      </c>
      <c r="HD46" s="3">
        <v>134.06</v>
      </c>
      <c r="HE46" s="3">
        <v>178.52</v>
      </c>
      <c r="HF46" s="3">
        <v>115.39</v>
      </c>
      <c r="HG46" s="3">
        <v>20.16</v>
      </c>
      <c r="HH46" s="3">
        <v>246.54</v>
      </c>
      <c r="HI46" s="3">
        <v>111.86</v>
      </c>
      <c r="HJ46" s="3">
        <v>245.73</v>
      </c>
      <c r="HK46" s="3">
        <v>76.13</v>
      </c>
      <c r="HL46" s="3">
        <v>0.81</v>
      </c>
      <c r="HM46" s="3">
        <v>48.1</v>
      </c>
      <c r="HN46" s="3">
        <v>140.83000000000001</v>
      </c>
      <c r="HO46" s="3">
        <v>283.32</v>
      </c>
      <c r="HP46" s="3">
        <v>31.11</v>
      </c>
    </row>
    <row r="47" spans="1:224" x14ac:dyDescent="0.25">
      <c r="A47" s="3">
        <v>49</v>
      </c>
      <c r="B47" s="3" t="s">
        <v>76</v>
      </c>
      <c r="C47" s="3" t="s">
        <v>24</v>
      </c>
      <c r="D47" s="3">
        <v>2000</v>
      </c>
      <c r="E47" s="3">
        <v>174</v>
      </c>
      <c r="F47" s="3">
        <v>3.9</v>
      </c>
      <c r="G47" s="3">
        <v>64231</v>
      </c>
      <c r="H47" s="3">
        <v>208.11</v>
      </c>
      <c r="I47" s="3" t="s">
        <v>17</v>
      </c>
      <c r="L47" s="1" t="s">
        <v>8</v>
      </c>
      <c r="M47" s="3" t="s">
        <v>11</v>
      </c>
      <c r="N47" s="3" t="s">
        <v>11</v>
      </c>
      <c r="O47" s="3" t="s">
        <v>17</v>
      </c>
      <c r="P47" s="3" t="s">
        <v>19</v>
      </c>
      <c r="Q47" s="3" t="s">
        <v>21</v>
      </c>
      <c r="R47" s="3" t="s">
        <v>19</v>
      </c>
      <c r="S47" s="3" t="s">
        <v>17</v>
      </c>
      <c r="T47" s="3" t="s">
        <v>17</v>
      </c>
      <c r="U47" s="3" t="s">
        <v>17</v>
      </c>
      <c r="V47" s="3" t="s">
        <v>30</v>
      </c>
      <c r="W47" s="3" t="s">
        <v>19</v>
      </c>
      <c r="X47" s="3" t="s">
        <v>19</v>
      </c>
      <c r="Y47" s="3" t="s">
        <v>11</v>
      </c>
      <c r="Z47" s="3" t="s">
        <v>11</v>
      </c>
      <c r="AA47" s="3" t="s">
        <v>11</v>
      </c>
      <c r="AB47" s="3" t="s">
        <v>17</v>
      </c>
      <c r="AC47" s="3" t="s">
        <v>19</v>
      </c>
      <c r="AD47" s="3" t="s">
        <v>17</v>
      </c>
      <c r="AE47" s="3" t="s">
        <v>30</v>
      </c>
      <c r="AF47" s="3" t="s">
        <v>11</v>
      </c>
      <c r="AG47" s="3" t="s">
        <v>17</v>
      </c>
      <c r="AH47" s="3" t="s">
        <v>30</v>
      </c>
      <c r="AI47" s="3" t="s">
        <v>21</v>
      </c>
      <c r="AJ47" s="3" t="s">
        <v>19</v>
      </c>
      <c r="AK47" s="3" t="s">
        <v>11</v>
      </c>
      <c r="AL47" s="3" t="s">
        <v>17</v>
      </c>
      <c r="AM47" s="3" t="s">
        <v>30</v>
      </c>
      <c r="AN47" s="3" t="s">
        <v>30</v>
      </c>
      <c r="AO47" s="3" t="s">
        <v>19</v>
      </c>
      <c r="AP47" s="3" t="s">
        <v>21</v>
      </c>
      <c r="AQ47" s="3" t="s">
        <v>19</v>
      </c>
      <c r="AR47" s="3" t="s">
        <v>17</v>
      </c>
      <c r="AS47" s="3" t="s">
        <v>19</v>
      </c>
      <c r="AT47" s="3" t="s">
        <v>30</v>
      </c>
      <c r="AU47" s="3" t="s">
        <v>30</v>
      </c>
      <c r="AV47" s="3" t="s">
        <v>11</v>
      </c>
      <c r="AW47" s="3" t="s">
        <v>11</v>
      </c>
      <c r="AX47" s="3" t="s">
        <v>17</v>
      </c>
      <c r="AY47" s="3" t="s">
        <v>21</v>
      </c>
      <c r="AZ47" s="3" t="s">
        <v>19</v>
      </c>
      <c r="BA47" s="3" t="s">
        <v>17</v>
      </c>
      <c r="BB47" s="3" t="s">
        <v>11</v>
      </c>
      <c r="BC47" s="3" t="s">
        <v>19</v>
      </c>
      <c r="BD47" s="3" t="s">
        <v>11</v>
      </c>
      <c r="BE47" s="3" t="s">
        <v>19</v>
      </c>
      <c r="BF47" s="3" t="s">
        <v>17</v>
      </c>
      <c r="BG47" s="3" t="s">
        <v>19</v>
      </c>
      <c r="BH47" s="3" t="s">
        <v>30</v>
      </c>
      <c r="BI47" s="3" t="s">
        <v>30</v>
      </c>
      <c r="BJ47" s="3" t="s">
        <v>19</v>
      </c>
      <c r="BK47" s="3" t="s">
        <v>19</v>
      </c>
      <c r="BL47" s="3" t="s">
        <v>30</v>
      </c>
      <c r="BM47" s="3" t="s">
        <v>30</v>
      </c>
      <c r="BN47" s="3" t="s">
        <v>19</v>
      </c>
      <c r="BO47" s="3" t="s">
        <v>11</v>
      </c>
      <c r="BP47" s="3" t="s">
        <v>21</v>
      </c>
      <c r="BQ47" s="3" t="s">
        <v>11</v>
      </c>
      <c r="BR47" s="3" t="s">
        <v>30</v>
      </c>
      <c r="BS47" s="3" t="s">
        <v>11</v>
      </c>
      <c r="BT47" s="3" t="s">
        <v>21</v>
      </c>
      <c r="BU47" s="3" t="s">
        <v>21</v>
      </c>
      <c r="BV47" s="3" t="s">
        <v>17</v>
      </c>
      <c r="BW47" s="3" t="s">
        <v>30</v>
      </c>
      <c r="BX47" s="3" t="s">
        <v>30</v>
      </c>
      <c r="BY47" s="3" t="s">
        <v>19</v>
      </c>
      <c r="BZ47" s="3" t="s">
        <v>30</v>
      </c>
      <c r="CA47" s="3" t="s">
        <v>17</v>
      </c>
      <c r="CB47" s="3" t="s">
        <v>17</v>
      </c>
      <c r="CC47" s="3" t="s">
        <v>30</v>
      </c>
      <c r="CD47" s="3" t="s">
        <v>19</v>
      </c>
      <c r="CE47" s="3" t="s">
        <v>30</v>
      </c>
      <c r="CF47" s="3" t="s">
        <v>19</v>
      </c>
      <c r="CG47" s="3" t="s">
        <v>30</v>
      </c>
      <c r="CH47" s="3" t="s">
        <v>21</v>
      </c>
      <c r="CI47" s="3" t="s">
        <v>21</v>
      </c>
      <c r="CJ47" s="3" t="s">
        <v>19</v>
      </c>
      <c r="CK47" s="3" t="s">
        <v>30</v>
      </c>
      <c r="CL47" s="3" t="s">
        <v>21</v>
      </c>
      <c r="CM47" s="3" t="s">
        <v>30</v>
      </c>
      <c r="CN47" s="3" t="s">
        <v>11</v>
      </c>
      <c r="CO47" s="3" t="s">
        <v>30</v>
      </c>
      <c r="CP47" s="3" t="s">
        <v>11</v>
      </c>
      <c r="CQ47" s="3" t="s">
        <v>21</v>
      </c>
      <c r="CR47" s="3" t="s">
        <v>21</v>
      </c>
      <c r="CS47" s="3" t="s">
        <v>21</v>
      </c>
      <c r="CT47" s="3" t="s">
        <v>21</v>
      </c>
      <c r="CU47" s="3" t="s">
        <v>21</v>
      </c>
      <c r="CV47" s="3" t="s">
        <v>21</v>
      </c>
      <c r="CW47" s="3" t="s">
        <v>19</v>
      </c>
      <c r="CX47" s="3" t="s">
        <v>17</v>
      </c>
      <c r="CY47" s="3" t="s">
        <v>11</v>
      </c>
      <c r="CZ47" s="3" t="s">
        <v>17</v>
      </c>
      <c r="DA47" s="3" t="s">
        <v>30</v>
      </c>
      <c r="DB47" s="3" t="s">
        <v>30</v>
      </c>
      <c r="DC47" s="3" t="s">
        <v>30</v>
      </c>
      <c r="DD47" s="3" t="s">
        <v>19</v>
      </c>
      <c r="DE47" s="3" t="s">
        <v>21</v>
      </c>
      <c r="DF47" s="3" t="s">
        <v>19</v>
      </c>
      <c r="DG47" s="3" t="s">
        <v>19</v>
      </c>
      <c r="DH47" s="3" t="s">
        <v>17</v>
      </c>
      <c r="DI47" s="3" t="s">
        <v>17</v>
      </c>
      <c r="DJ47" s="3" t="s">
        <v>19</v>
      </c>
      <c r="DK47" s="3" t="s">
        <v>19</v>
      </c>
      <c r="DL47" s="3" t="s">
        <v>21</v>
      </c>
      <c r="DM47" s="3" t="s">
        <v>17</v>
      </c>
      <c r="DN47" s="3" t="s">
        <v>30</v>
      </c>
      <c r="DO47" s="3" t="s">
        <v>19</v>
      </c>
      <c r="DP47" s="3" t="s">
        <v>21</v>
      </c>
      <c r="DQ47" s="3" t="s">
        <v>17</v>
      </c>
      <c r="DR47" s="3" t="s">
        <v>21</v>
      </c>
      <c r="DS47" s="3" t="s">
        <v>19</v>
      </c>
      <c r="DT47" s="3" t="s">
        <v>19</v>
      </c>
      <c r="DU47" s="3" t="s">
        <v>11</v>
      </c>
      <c r="DV47" s="3" t="s">
        <v>30</v>
      </c>
      <c r="DW47" s="3" t="s">
        <v>11</v>
      </c>
      <c r="DX47" s="3" t="s">
        <v>21</v>
      </c>
      <c r="DY47" s="3" t="s">
        <v>17</v>
      </c>
      <c r="DZ47" s="3" t="s">
        <v>19</v>
      </c>
      <c r="EA47" s="3" t="s">
        <v>11</v>
      </c>
      <c r="EB47" s="3" t="s">
        <v>11</v>
      </c>
      <c r="EC47" s="3" t="s">
        <v>17</v>
      </c>
      <c r="ED47" s="3" t="s">
        <v>19</v>
      </c>
      <c r="EE47" s="3" t="s">
        <v>21</v>
      </c>
      <c r="EF47" s="3" t="s">
        <v>21</v>
      </c>
      <c r="EG47" s="3" t="s">
        <v>17</v>
      </c>
      <c r="EH47" s="3" t="s">
        <v>11</v>
      </c>
      <c r="EI47" s="3" t="s">
        <v>30</v>
      </c>
      <c r="EJ47" s="3" t="s">
        <v>17</v>
      </c>
      <c r="EK47" s="3" t="s">
        <v>19</v>
      </c>
      <c r="EL47" s="3" t="s">
        <v>21</v>
      </c>
      <c r="EM47" s="3" t="s">
        <v>17</v>
      </c>
      <c r="EN47" s="3" t="s">
        <v>17</v>
      </c>
      <c r="EO47" s="3" t="s">
        <v>30</v>
      </c>
      <c r="EP47" s="3" t="s">
        <v>11</v>
      </c>
      <c r="EQ47" s="3" t="s">
        <v>21</v>
      </c>
      <c r="ER47" s="3" t="s">
        <v>11</v>
      </c>
      <c r="ES47" s="3" t="s">
        <v>19</v>
      </c>
      <c r="ET47" s="3" t="s">
        <v>11</v>
      </c>
      <c r="EU47" s="3" t="s">
        <v>19</v>
      </c>
      <c r="EV47" s="3" t="s">
        <v>19</v>
      </c>
      <c r="EW47" s="3" t="s">
        <v>19</v>
      </c>
      <c r="EX47" s="3" t="s">
        <v>19</v>
      </c>
      <c r="EY47" s="3" t="s">
        <v>19</v>
      </c>
      <c r="EZ47" s="3" t="s">
        <v>21</v>
      </c>
      <c r="FA47" s="3" t="s">
        <v>30</v>
      </c>
      <c r="FB47" s="3" t="s">
        <v>17</v>
      </c>
      <c r="FC47" s="3" t="s">
        <v>11</v>
      </c>
      <c r="FD47" s="3" t="s">
        <v>21</v>
      </c>
      <c r="FE47" s="3" t="s">
        <v>19</v>
      </c>
      <c r="FF47" s="3" t="s">
        <v>21</v>
      </c>
      <c r="FG47" s="3" t="s">
        <v>21</v>
      </c>
      <c r="FH47" s="3" t="s">
        <v>19</v>
      </c>
      <c r="FI47" s="3" t="s">
        <v>21</v>
      </c>
      <c r="FJ47" s="3" t="s">
        <v>17</v>
      </c>
      <c r="FK47" s="3" t="s">
        <v>11</v>
      </c>
      <c r="FL47" s="3" t="s">
        <v>19</v>
      </c>
      <c r="FM47" s="3" t="s">
        <v>17</v>
      </c>
      <c r="FN47" s="3" t="s">
        <v>11</v>
      </c>
      <c r="FO47" s="3" t="s">
        <v>21</v>
      </c>
      <c r="FP47" s="3" t="s">
        <v>11</v>
      </c>
      <c r="FQ47" s="3" t="s">
        <v>17</v>
      </c>
      <c r="FR47" s="3" t="s">
        <v>19</v>
      </c>
      <c r="FS47" s="3" t="s">
        <v>21</v>
      </c>
      <c r="FT47" s="3" t="s">
        <v>21</v>
      </c>
      <c r="FU47" s="3" t="s">
        <v>11</v>
      </c>
      <c r="FV47" s="3" t="s">
        <v>11</v>
      </c>
      <c r="FW47" s="3" t="s">
        <v>30</v>
      </c>
      <c r="FX47" s="3" t="s">
        <v>19</v>
      </c>
      <c r="FY47" s="3" t="s">
        <v>11</v>
      </c>
      <c r="FZ47" s="3" t="s">
        <v>30</v>
      </c>
      <c r="GA47" s="3" t="s">
        <v>19</v>
      </c>
      <c r="GB47" s="3" t="s">
        <v>21</v>
      </c>
      <c r="GC47" s="3" t="s">
        <v>30</v>
      </c>
      <c r="GD47" s="3" t="s">
        <v>30</v>
      </c>
      <c r="GE47" s="3" t="s">
        <v>19</v>
      </c>
      <c r="GF47" s="3" t="s">
        <v>21</v>
      </c>
      <c r="GG47" s="3" t="s">
        <v>17</v>
      </c>
      <c r="GH47" s="3" t="s">
        <v>11</v>
      </c>
      <c r="GI47" s="3" t="s">
        <v>11</v>
      </c>
      <c r="GJ47" s="3" t="s">
        <v>30</v>
      </c>
      <c r="GK47" s="3" t="s">
        <v>19</v>
      </c>
      <c r="GL47" s="3" t="s">
        <v>11</v>
      </c>
      <c r="GM47" s="3" t="s">
        <v>17</v>
      </c>
      <c r="GN47" s="3" t="s">
        <v>21</v>
      </c>
      <c r="GO47" s="3" t="s">
        <v>17</v>
      </c>
      <c r="GP47" s="3" t="s">
        <v>21</v>
      </c>
      <c r="GQ47" s="3" t="s">
        <v>11</v>
      </c>
      <c r="GR47" s="3" t="s">
        <v>21</v>
      </c>
      <c r="GS47" s="3" t="s">
        <v>19</v>
      </c>
      <c r="GT47" s="3" t="s">
        <v>30</v>
      </c>
      <c r="GU47" s="3" t="s">
        <v>30</v>
      </c>
      <c r="GV47" s="3" t="s">
        <v>11</v>
      </c>
      <c r="GW47" s="3" t="s">
        <v>19</v>
      </c>
      <c r="GX47" s="3" t="s">
        <v>17</v>
      </c>
      <c r="GY47" s="3" t="s">
        <v>19</v>
      </c>
      <c r="GZ47" s="3" t="s">
        <v>30</v>
      </c>
      <c r="HA47" s="3" t="s">
        <v>30</v>
      </c>
      <c r="HB47" s="3" t="s">
        <v>19</v>
      </c>
      <c r="HC47" s="3" t="s">
        <v>19</v>
      </c>
      <c r="HD47" s="3" t="s">
        <v>30</v>
      </c>
      <c r="HE47" s="3" t="s">
        <v>11</v>
      </c>
      <c r="HF47" s="3" t="s">
        <v>11</v>
      </c>
      <c r="HG47" s="3" t="s">
        <v>19</v>
      </c>
      <c r="HH47" s="3" t="s">
        <v>11</v>
      </c>
      <c r="HI47" s="3" t="s">
        <v>30</v>
      </c>
      <c r="HJ47" s="3" t="s">
        <v>30</v>
      </c>
      <c r="HK47" s="3" t="s">
        <v>19</v>
      </c>
      <c r="HL47" s="3" t="s">
        <v>19</v>
      </c>
      <c r="HM47" s="3" t="s">
        <v>19</v>
      </c>
      <c r="HN47" s="3" t="s">
        <v>17</v>
      </c>
      <c r="HO47" s="3" t="s">
        <v>11</v>
      </c>
      <c r="HP47" s="3" t="s">
        <v>19</v>
      </c>
    </row>
    <row r="48" spans="1:224" x14ac:dyDescent="0.25">
      <c r="A48" s="3">
        <v>50</v>
      </c>
      <c r="B48" s="3" t="s">
        <v>77</v>
      </c>
      <c r="C48" s="3" t="s">
        <v>10</v>
      </c>
      <c r="D48" s="3">
        <v>2004</v>
      </c>
      <c r="E48" s="3">
        <v>131</v>
      </c>
      <c r="F48" s="3">
        <v>3.8</v>
      </c>
      <c r="G48" s="3">
        <v>50188</v>
      </c>
      <c r="H48" s="3">
        <v>15.95</v>
      </c>
      <c r="I48" s="3" t="s">
        <v>19</v>
      </c>
    </row>
    <row r="49" spans="1:13" x14ac:dyDescent="0.25">
      <c r="A49" s="3">
        <v>51</v>
      </c>
      <c r="B49" s="3" t="s">
        <v>78</v>
      </c>
      <c r="C49" s="3" t="s">
        <v>10</v>
      </c>
      <c r="D49" s="3">
        <v>2015</v>
      </c>
      <c r="E49" s="3">
        <v>162</v>
      </c>
      <c r="F49" s="3">
        <v>6.8</v>
      </c>
      <c r="G49" s="3">
        <v>74009</v>
      </c>
      <c r="H49" s="3">
        <v>201.14</v>
      </c>
      <c r="I49" s="3" t="s">
        <v>30</v>
      </c>
    </row>
    <row r="50" spans="1:13" x14ac:dyDescent="0.25">
      <c r="A50" s="3">
        <v>52</v>
      </c>
      <c r="B50" s="3" t="s">
        <v>79</v>
      </c>
      <c r="C50" s="3" t="s">
        <v>10</v>
      </c>
      <c r="D50" s="3">
        <v>2018</v>
      </c>
      <c r="E50" s="3">
        <v>95</v>
      </c>
      <c r="F50" s="3">
        <v>4.0999999999999996</v>
      </c>
      <c r="G50" s="3">
        <v>9077</v>
      </c>
      <c r="H50" s="3">
        <v>13.73</v>
      </c>
      <c r="I50" s="3" t="s">
        <v>30</v>
      </c>
      <c r="K50" s="2">
        <v>11</v>
      </c>
      <c r="L50" s="2" t="s">
        <v>244</v>
      </c>
    </row>
    <row r="51" spans="1:13" x14ac:dyDescent="0.25">
      <c r="A51" s="3">
        <v>54</v>
      </c>
      <c r="B51" s="3" t="s">
        <v>80</v>
      </c>
      <c r="C51" s="3" t="s">
        <v>13</v>
      </c>
      <c r="D51" s="3">
        <v>2002</v>
      </c>
      <c r="E51" s="3">
        <v>178</v>
      </c>
      <c r="F51" s="3">
        <v>8.4</v>
      </c>
      <c r="G51" s="3">
        <v>9166</v>
      </c>
      <c r="H51" s="3">
        <v>299.81</v>
      </c>
      <c r="I51" s="3" t="s">
        <v>19</v>
      </c>
    </row>
    <row r="52" spans="1:13" x14ac:dyDescent="0.25">
      <c r="A52" s="3">
        <v>55</v>
      </c>
      <c r="B52" s="3" t="s">
        <v>81</v>
      </c>
      <c r="C52" s="3" t="s">
        <v>16</v>
      </c>
      <c r="D52" s="3">
        <v>2016</v>
      </c>
      <c r="E52" s="3">
        <v>91</v>
      </c>
      <c r="F52" s="3">
        <v>5.8</v>
      </c>
      <c r="G52" s="3">
        <v>58261</v>
      </c>
      <c r="H52" s="3">
        <v>166.96</v>
      </c>
      <c r="I52" s="3" t="s">
        <v>19</v>
      </c>
      <c r="L52" s="4" t="s">
        <v>59</v>
      </c>
      <c r="M52" s="4">
        <v>110</v>
      </c>
    </row>
    <row r="53" spans="1:13" x14ac:dyDescent="0.25">
      <c r="A53" s="3">
        <v>56</v>
      </c>
      <c r="B53" s="3" t="s">
        <v>82</v>
      </c>
      <c r="C53" s="3" t="s">
        <v>43</v>
      </c>
      <c r="D53" s="3">
        <v>2016</v>
      </c>
      <c r="E53" s="3">
        <v>104</v>
      </c>
      <c r="F53" s="3">
        <v>7</v>
      </c>
      <c r="G53" s="3">
        <v>36868</v>
      </c>
      <c r="H53" s="3">
        <v>142.22999999999999</v>
      </c>
      <c r="I53" s="3" t="s">
        <v>30</v>
      </c>
      <c r="L53" s="4" t="s">
        <v>245</v>
      </c>
      <c r="M53" s="4" t="str">
        <f>_xlfn.XLOOKUP(M52,A:A,C:C)</f>
        <v>Comedy</v>
      </c>
    </row>
    <row r="54" spans="1:13" x14ac:dyDescent="0.25">
      <c r="A54" s="3">
        <v>57</v>
      </c>
      <c r="B54" s="3" t="s">
        <v>83</v>
      </c>
      <c r="C54" s="3" t="s">
        <v>10</v>
      </c>
      <c r="D54" s="3">
        <v>2011</v>
      </c>
      <c r="E54" s="3">
        <v>131</v>
      </c>
      <c r="F54" s="3">
        <v>0</v>
      </c>
      <c r="G54" s="3">
        <v>7283</v>
      </c>
      <c r="H54" s="3">
        <v>94.2</v>
      </c>
      <c r="I54" s="3" t="s">
        <v>30</v>
      </c>
    </row>
    <row r="55" spans="1:13" x14ac:dyDescent="0.25">
      <c r="A55" s="3">
        <v>58</v>
      </c>
      <c r="B55" s="3" t="s">
        <v>84</v>
      </c>
      <c r="C55" s="3" t="s">
        <v>24</v>
      </c>
      <c r="D55" s="3">
        <v>2013</v>
      </c>
      <c r="E55" s="3">
        <v>164</v>
      </c>
      <c r="F55" s="3">
        <v>4.2</v>
      </c>
      <c r="G55" s="3">
        <v>42414</v>
      </c>
      <c r="H55" s="3">
        <v>36.6</v>
      </c>
      <c r="I55" s="3" t="s">
        <v>19</v>
      </c>
      <c r="K55" s="2">
        <v>12</v>
      </c>
      <c r="L55" s="2" t="s">
        <v>246</v>
      </c>
    </row>
    <row r="56" spans="1:13" x14ac:dyDescent="0.25">
      <c r="A56" s="3">
        <v>60</v>
      </c>
      <c r="B56" s="3" t="s">
        <v>85</v>
      </c>
      <c r="C56" s="3" t="s">
        <v>24</v>
      </c>
      <c r="D56" s="3">
        <v>2005</v>
      </c>
      <c r="E56" s="3">
        <v>132</v>
      </c>
      <c r="F56" s="3">
        <v>4</v>
      </c>
      <c r="G56" s="3">
        <v>79526</v>
      </c>
      <c r="H56" s="3">
        <v>58.18</v>
      </c>
      <c r="I56" s="3" t="s">
        <v>11</v>
      </c>
      <c r="L56" s="2">
        <f>COUNTIFS(C2:C213,"Drama",D2:D213,"&gt;2020")</f>
        <v>6</v>
      </c>
    </row>
    <row r="57" spans="1:13" x14ac:dyDescent="0.25">
      <c r="A57" s="3">
        <v>61</v>
      </c>
      <c r="B57" s="3" t="s">
        <v>86</v>
      </c>
      <c r="C57" s="3" t="s">
        <v>24</v>
      </c>
      <c r="D57" s="3">
        <v>2002</v>
      </c>
      <c r="E57" s="3">
        <v>102</v>
      </c>
      <c r="F57" s="3">
        <v>4.7</v>
      </c>
      <c r="G57" s="3">
        <v>68026</v>
      </c>
      <c r="H57" s="3">
        <v>35.03</v>
      </c>
      <c r="I57" s="3" t="s">
        <v>21</v>
      </c>
    </row>
    <row r="58" spans="1:13" x14ac:dyDescent="0.25">
      <c r="A58" s="3">
        <v>63</v>
      </c>
      <c r="B58" s="3" t="s">
        <v>87</v>
      </c>
      <c r="C58" s="3" t="s">
        <v>13</v>
      </c>
      <c r="D58" s="3">
        <v>2004</v>
      </c>
      <c r="E58" s="3">
        <v>136</v>
      </c>
      <c r="F58" s="3">
        <v>3.5</v>
      </c>
      <c r="G58" s="3">
        <v>46265</v>
      </c>
      <c r="H58" s="3">
        <v>238.7</v>
      </c>
      <c r="I58" s="3" t="s">
        <v>11</v>
      </c>
      <c r="K58" s="2">
        <v>13</v>
      </c>
      <c r="L58" s="2" t="s">
        <v>247</v>
      </c>
    </row>
    <row r="59" spans="1:13" x14ac:dyDescent="0.25">
      <c r="A59" s="3">
        <v>64</v>
      </c>
      <c r="B59" s="3" t="s">
        <v>88</v>
      </c>
      <c r="C59" s="3" t="s">
        <v>24</v>
      </c>
      <c r="D59" s="3">
        <v>2023</v>
      </c>
      <c r="E59" s="3">
        <v>118</v>
      </c>
      <c r="F59" s="3">
        <v>0</v>
      </c>
      <c r="G59" s="3">
        <v>20456</v>
      </c>
      <c r="H59" s="3">
        <v>223.65</v>
      </c>
      <c r="I59" s="3" t="s">
        <v>30</v>
      </c>
      <c r="L59" s="2">
        <f>INDEX(H2:H213,10)</f>
        <v>40.93</v>
      </c>
    </row>
    <row r="60" spans="1:13" x14ac:dyDescent="0.25">
      <c r="A60" s="3">
        <v>65</v>
      </c>
      <c r="B60" s="3" t="s">
        <v>89</v>
      </c>
      <c r="C60" s="3" t="s">
        <v>24</v>
      </c>
      <c r="D60" s="3">
        <v>2016</v>
      </c>
      <c r="E60" s="3">
        <v>132</v>
      </c>
      <c r="F60" s="3">
        <v>5.8</v>
      </c>
      <c r="G60" s="3">
        <v>88395</v>
      </c>
      <c r="H60" s="3">
        <v>16.940000000000001</v>
      </c>
      <c r="I60" s="3" t="s">
        <v>11</v>
      </c>
    </row>
    <row r="61" spans="1:13" x14ac:dyDescent="0.25">
      <c r="A61" s="3">
        <v>66</v>
      </c>
      <c r="B61" s="3" t="s">
        <v>90</v>
      </c>
      <c r="C61" s="3" t="s">
        <v>10</v>
      </c>
      <c r="D61" s="3">
        <v>2013</v>
      </c>
      <c r="E61" s="3">
        <v>121</v>
      </c>
      <c r="F61" s="3">
        <v>4.2</v>
      </c>
      <c r="G61" s="3">
        <v>46740</v>
      </c>
      <c r="H61" s="3">
        <v>136.82</v>
      </c>
      <c r="I61" s="3" t="s">
        <v>21</v>
      </c>
      <c r="K61" s="2">
        <v>14</v>
      </c>
      <c r="L61" s="2" t="s">
        <v>248</v>
      </c>
    </row>
    <row r="62" spans="1:13" x14ac:dyDescent="0.25">
      <c r="A62" s="3">
        <v>67</v>
      </c>
      <c r="B62" s="3" t="s">
        <v>91</v>
      </c>
      <c r="C62" s="3" t="s">
        <v>24</v>
      </c>
      <c r="D62" s="3">
        <v>2020</v>
      </c>
      <c r="E62" s="3">
        <v>137</v>
      </c>
      <c r="F62" s="3">
        <v>5.2</v>
      </c>
      <c r="G62" s="3">
        <v>37648</v>
      </c>
      <c r="H62" s="3">
        <v>156.97</v>
      </c>
      <c r="I62" s="3" t="s">
        <v>21</v>
      </c>
      <c r="L62" s="2">
        <f>INDEX(F2:F213,MATCH("Movie_20",B2:B213,0))</f>
        <v>7.2</v>
      </c>
    </row>
    <row r="63" spans="1:13" x14ac:dyDescent="0.25">
      <c r="A63" s="3">
        <v>68</v>
      </c>
      <c r="B63" s="3" t="s">
        <v>92</v>
      </c>
      <c r="C63" s="3" t="s">
        <v>24</v>
      </c>
      <c r="D63" s="3">
        <v>2002</v>
      </c>
      <c r="E63" s="3">
        <v>118</v>
      </c>
      <c r="F63" s="3">
        <v>6</v>
      </c>
      <c r="G63" s="3">
        <v>94770</v>
      </c>
      <c r="H63" s="3">
        <v>193.54</v>
      </c>
      <c r="I63" s="3" t="s">
        <v>17</v>
      </c>
    </row>
    <row r="64" spans="1:13" x14ac:dyDescent="0.25">
      <c r="A64" s="3">
        <v>70</v>
      </c>
      <c r="B64" s="3" t="s">
        <v>93</v>
      </c>
      <c r="C64" s="3" t="s">
        <v>10</v>
      </c>
      <c r="D64" s="3">
        <v>2019</v>
      </c>
      <c r="E64" s="3">
        <v>174</v>
      </c>
      <c r="F64" s="3">
        <v>3.2</v>
      </c>
      <c r="G64" s="3">
        <v>19597</v>
      </c>
      <c r="H64" s="3">
        <v>109.73</v>
      </c>
      <c r="I64" s="3" t="s">
        <v>30</v>
      </c>
      <c r="K64" s="2">
        <v>15</v>
      </c>
      <c r="L64" s="2" t="s">
        <v>249</v>
      </c>
    </row>
    <row r="65" spans="1:12" x14ac:dyDescent="0.25">
      <c r="A65" s="3">
        <v>71</v>
      </c>
      <c r="B65" s="3" t="s">
        <v>94</v>
      </c>
      <c r="C65" s="3" t="s">
        <v>43</v>
      </c>
      <c r="D65" s="3">
        <v>2020</v>
      </c>
      <c r="E65" s="3">
        <v>84</v>
      </c>
      <c r="F65" s="3">
        <v>7.8</v>
      </c>
      <c r="G65" s="3">
        <v>10895</v>
      </c>
      <c r="H65" s="3">
        <v>168.42</v>
      </c>
      <c r="I65" s="3" t="s">
        <v>30</v>
      </c>
      <c r="L65" s="2">
        <f>AVERAGEIFS(F2:F213,C2:C213,"Action")</f>
        <v>5.1355555555555554</v>
      </c>
    </row>
    <row r="66" spans="1:12" x14ac:dyDescent="0.25">
      <c r="A66" s="3">
        <v>72</v>
      </c>
      <c r="B66" s="3" t="s">
        <v>95</v>
      </c>
      <c r="C66" s="3" t="s">
        <v>13</v>
      </c>
      <c r="D66" s="3">
        <v>2022</v>
      </c>
      <c r="E66" s="3">
        <v>114</v>
      </c>
      <c r="F66" s="3">
        <v>6.8</v>
      </c>
      <c r="G66" s="3">
        <v>16741</v>
      </c>
      <c r="H66" s="3">
        <v>144.58000000000001</v>
      </c>
      <c r="I66" s="3" t="s">
        <v>19</v>
      </c>
    </row>
    <row r="67" spans="1:12" x14ac:dyDescent="0.25">
      <c r="A67" s="3">
        <v>73</v>
      </c>
      <c r="B67" s="3" t="s">
        <v>96</v>
      </c>
      <c r="C67" s="3" t="s">
        <v>13</v>
      </c>
      <c r="D67" s="3">
        <v>2000</v>
      </c>
      <c r="E67" s="3">
        <v>166</v>
      </c>
      <c r="F67" s="3">
        <v>3.5</v>
      </c>
      <c r="G67" s="3">
        <v>28196</v>
      </c>
      <c r="H67" s="3">
        <v>265.56</v>
      </c>
      <c r="I67" s="3" t="s">
        <v>30</v>
      </c>
      <c r="K67" s="2">
        <v>16</v>
      </c>
      <c r="L67" s="2" t="s">
        <v>250</v>
      </c>
    </row>
    <row r="68" spans="1:12" x14ac:dyDescent="0.25">
      <c r="A68" s="3">
        <v>74</v>
      </c>
      <c r="B68" s="3" t="s">
        <v>97</v>
      </c>
      <c r="C68" s="3" t="s">
        <v>24</v>
      </c>
      <c r="D68" s="3">
        <v>2002</v>
      </c>
      <c r="E68" s="3">
        <v>172</v>
      </c>
      <c r="F68" s="3">
        <v>8.1999999999999993</v>
      </c>
      <c r="G68" s="3">
        <v>70980</v>
      </c>
      <c r="H68" s="3">
        <v>159.31</v>
      </c>
      <c r="I68" s="3" t="s">
        <v>17</v>
      </c>
      <c r="L68" s="2">
        <f>AVERAGEIFS(H2:H213,D2:D213,2020)</f>
        <v>150.86499999999998</v>
      </c>
    </row>
    <row r="69" spans="1:12" x14ac:dyDescent="0.25">
      <c r="A69" s="3">
        <v>75</v>
      </c>
      <c r="B69" s="3" t="s">
        <v>98</v>
      </c>
      <c r="C69" s="3" t="s">
        <v>13</v>
      </c>
      <c r="D69" s="3">
        <v>2017</v>
      </c>
      <c r="E69" s="3">
        <v>154</v>
      </c>
      <c r="F69" s="3">
        <v>8.5</v>
      </c>
      <c r="G69" s="3">
        <v>46663</v>
      </c>
      <c r="H69" s="3">
        <v>132.59</v>
      </c>
      <c r="I69" s="3" t="s">
        <v>17</v>
      </c>
    </row>
    <row r="70" spans="1:12" x14ac:dyDescent="0.25">
      <c r="A70" s="3">
        <v>77</v>
      </c>
      <c r="B70" s="3" t="s">
        <v>99</v>
      </c>
      <c r="C70" s="3" t="s">
        <v>43</v>
      </c>
      <c r="D70" s="3">
        <v>2021</v>
      </c>
      <c r="E70" s="3">
        <v>155</v>
      </c>
      <c r="F70" s="3">
        <v>4.7</v>
      </c>
      <c r="G70" s="3">
        <v>50340</v>
      </c>
      <c r="H70" s="3">
        <v>171.94</v>
      </c>
      <c r="I70" s="3" t="s">
        <v>30</v>
      </c>
      <c r="K70" s="2">
        <v>17</v>
      </c>
      <c r="L70" s="2" t="s">
        <v>251</v>
      </c>
    </row>
    <row r="71" spans="1:12" x14ac:dyDescent="0.25">
      <c r="A71" s="3">
        <v>78</v>
      </c>
      <c r="B71" s="3" t="s">
        <v>100</v>
      </c>
      <c r="C71" s="3" t="s">
        <v>10</v>
      </c>
      <c r="D71" s="3">
        <v>2002</v>
      </c>
      <c r="E71" s="3">
        <v>88</v>
      </c>
      <c r="F71" s="3">
        <v>7.8</v>
      </c>
      <c r="G71" s="3">
        <v>53353</v>
      </c>
      <c r="H71" s="3">
        <v>241.29</v>
      </c>
      <c r="I71" s="3" t="s">
        <v>19</v>
      </c>
      <c r="L71" s="2">
        <f>INDEX(D2:D213,MATCH("Movie_28",B2:B213,0))</f>
        <v>2006</v>
      </c>
    </row>
    <row r="72" spans="1:12" x14ac:dyDescent="0.25">
      <c r="A72" s="3">
        <v>79</v>
      </c>
      <c r="B72" s="3" t="s">
        <v>101</v>
      </c>
      <c r="C72" s="3" t="s">
        <v>10</v>
      </c>
      <c r="D72" s="3">
        <v>2007</v>
      </c>
      <c r="E72" s="3">
        <v>153</v>
      </c>
      <c r="F72" s="3">
        <v>7.5</v>
      </c>
      <c r="G72" s="3">
        <v>25417</v>
      </c>
      <c r="H72" s="3">
        <v>161.75</v>
      </c>
      <c r="I72" s="3" t="s">
        <v>30</v>
      </c>
    </row>
    <row r="73" spans="1:12" x14ac:dyDescent="0.25">
      <c r="A73" s="3">
        <v>80</v>
      </c>
      <c r="B73" s="3" t="s">
        <v>102</v>
      </c>
      <c r="C73" s="3" t="s">
        <v>10</v>
      </c>
      <c r="D73" s="3">
        <v>2013</v>
      </c>
      <c r="E73" s="3">
        <v>137</v>
      </c>
      <c r="F73" s="3">
        <v>4.0999999999999996</v>
      </c>
      <c r="G73" s="3">
        <v>97231</v>
      </c>
      <c r="H73" s="3">
        <v>198.67</v>
      </c>
      <c r="I73" s="3" t="s">
        <v>19</v>
      </c>
      <c r="K73" s="2">
        <v>18</v>
      </c>
      <c r="L73" s="2" t="s">
        <v>252</v>
      </c>
    </row>
    <row r="74" spans="1:12" x14ac:dyDescent="0.25">
      <c r="A74" s="3">
        <v>82</v>
      </c>
      <c r="B74" s="3" t="s">
        <v>103</v>
      </c>
      <c r="C74" s="3" t="s">
        <v>43</v>
      </c>
      <c r="D74" s="3">
        <v>2017</v>
      </c>
      <c r="E74" s="3">
        <v>86</v>
      </c>
      <c r="F74" s="3">
        <v>5.2</v>
      </c>
      <c r="G74" s="3">
        <v>75952</v>
      </c>
      <c r="H74" s="3">
        <v>156.29</v>
      </c>
      <c r="I74" s="3" t="s">
        <v>30</v>
      </c>
      <c r="L74" s="2">
        <f>SUMIF(C2:C213, "Action",G2:G213)</f>
        <v>1891404</v>
      </c>
    </row>
    <row r="75" spans="1:12" x14ac:dyDescent="0.25">
      <c r="A75" s="3">
        <v>83</v>
      </c>
      <c r="B75" s="3" t="s">
        <v>104</v>
      </c>
      <c r="C75" s="3" t="s">
        <v>13</v>
      </c>
      <c r="D75" s="3">
        <v>2014</v>
      </c>
      <c r="E75" s="3">
        <v>125</v>
      </c>
      <c r="F75" s="3">
        <v>5.9</v>
      </c>
      <c r="G75" s="3">
        <v>63323</v>
      </c>
      <c r="H75" s="3">
        <v>128.33000000000001</v>
      </c>
      <c r="I75" s="3" t="s">
        <v>21</v>
      </c>
    </row>
    <row r="76" spans="1:12" x14ac:dyDescent="0.25">
      <c r="A76" s="3">
        <v>84</v>
      </c>
      <c r="B76" s="3" t="s">
        <v>105</v>
      </c>
      <c r="C76" s="3" t="s">
        <v>13</v>
      </c>
      <c r="D76" s="3">
        <v>2021</v>
      </c>
      <c r="E76" s="3">
        <v>92</v>
      </c>
      <c r="F76" s="3">
        <v>6.7</v>
      </c>
      <c r="G76" s="3">
        <v>21306</v>
      </c>
      <c r="H76" s="3">
        <v>263.06</v>
      </c>
      <c r="I76" s="3" t="s">
        <v>21</v>
      </c>
      <c r="K76" s="2">
        <v>19</v>
      </c>
      <c r="L76" s="2" t="s">
        <v>253</v>
      </c>
    </row>
    <row r="77" spans="1:12" x14ac:dyDescent="0.25">
      <c r="A77" s="3">
        <v>85</v>
      </c>
      <c r="B77" s="3" t="s">
        <v>106</v>
      </c>
      <c r="C77" s="3" t="s">
        <v>43</v>
      </c>
      <c r="D77" s="3">
        <v>2022</v>
      </c>
      <c r="E77" s="3">
        <v>119</v>
      </c>
      <c r="F77" s="3">
        <v>5.2</v>
      </c>
      <c r="G77" s="3">
        <v>76020</v>
      </c>
      <c r="H77" s="3">
        <v>125.54</v>
      </c>
      <c r="I77" s="3" t="s">
        <v>19</v>
      </c>
      <c r="L77" s="2">
        <f>SUMIF(D2:D213,2020,H2:H213)</f>
        <v>1206.9199999999998</v>
      </c>
    </row>
    <row r="78" spans="1:12" x14ac:dyDescent="0.25">
      <c r="A78" s="3">
        <v>86</v>
      </c>
      <c r="B78" s="3" t="s">
        <v>107</v>
      </c>
      <c r="C78" s="3" t="s">
        <v>43</v>
      </c>
      <c r="D78" s="3">
        <v>2001</v>
      </c>
      <c r="E78" s="3">
        <v>121</v>
      </c>
      <c r="F78" s="3">
        <v>5.8</v>
      </c>
      <c r="G78" s="3">
        <v>2259</v>
      </c>
      <c r="H78" s="3">
        <v>138.85</v>
      </c>
      <c r="I78" s="3" t="s">
        <v>30</v>
      </c>
    </row>
    <row r="79" spans="1:12" x14ac:dyDescent="0.25">
      <c r="A79" s="3">
        <v>87</v>
      </c>
      <c r="B79" s="3" t="s">
        <v>108</v>
      </c>
      <c r="C79" s="3" t="s">
        <v>43</v>
      </c>
      <c r="D79" s="3">
        <v>2009</v>
      </c>
      <c r="E79" s="3">
        <v>88</v>
      </c>
      <c r="F79" s="3">
        <v>7.5</v>
      </c>
      <c r="G79" s="3">
        <v>42449</v>
      </c>
      <c r="H79" s="3">
        <v>297.11</v>
      </c>
      <c r="I79" s="3" t="s">
        <v>21</v>
      </c>
      <c r="K79" s="2">
        <v>20</v>
      </c>
      <c r="L79" s="2" t="s">
        <v>254</v>
      </c>
    </row>
    <row r="80" spans="1:12" x14ac:dyDescent="0.25">
      <c r="A80" s="3">
        <v>90</v>
      </c>
      <c r="B80" s="3" t="s">
        <v>109</v>
      </c>
      <c r="C80" s="3" t="s">
        <v>16</v>
      </c>
      <c r="D80" s="3">
        <v>2007</v>
      </c>
      <c r="E80" s="3">
        <v>145</v>
      </c>
      <c r="F80" s="3">
        <v>7.3</v>
      </c>
      <c r="G80" s="3">
        <v>24942</v>
      </c>
      <c r="H80" s="3">
        <v>115.5</v>
      </c>
      <c r="I80" s="3" t="s">
        <v>30</v>
      </c>
      <c r="L80" s="2">
        <f>COUNTIFS(F2:F213,"&gt;8")</f>
        <v>21</v>
      </c>
    </row>
    <row r="81" spans="1:9" x14ac:dyDescent="0.25">
      <c r="A81" s="3">
        <v>91</v>
      </c>
      <c r="B81" s="3" t="s">
        <v>110</v>
      </c>
      <c r="C81" s="3" t="s">
        <v>16</v>
      </c>
      <c r="D81" s="3">
        <v>2000</v>
      </c>
      <c r="E81" s="3">
        <v>84</v>
      </c>
      <c r="F81" s="3">
        <v>0</v>
      </c>
      <c r="G81" s="3">
        <v>34219</v>
      </c>
      <c r="H81" s="3">
        <v>279.81</v>
      </c>
      <c r="I81" s="3" t="s">
        <v>11</v>
      </c>
    </row>
    <row r="82" spans="1:9" x14ac:dyDescent="0.25">
      <c r="A82" s="3">
        <v>92</v>
      </c>
      <c r="B82" s="3" t="s">
        <v>111</v>
      </c>
      <c r="C82" s="3" t="s">
        <v>43</v>
      </c>
      <c r="D82" s="3">
        <v>2008</v>
      </c>
      <c r="E82" s="3">
        <v>108</v>
      </c>
      <c r="F82" s="3">
        <v>6.1</v>
      </c>
      <c r="G82" s="3">
        <v>58566</v>
      </c>
      <c r="H82" s="3">
        <v>21.47</v>
      </c>
      <c r="I82" s="3" t="s">
        <v>30</v>
      </c>
    </row>
    <row r="83" spans="1:9" x14ac:dyDescent="0.25">
      <c r="A83" s="3">
        <v>93</v>
      </c>
      <c r="B83" s="3" t="s">
        <v>112</v>
      </c>
      <c r="C83" s="3" t="s">
        <v>16</v>
      </c>
      <c r="D83" s="3">
        <v>2010</v>
      </c>
      <c r="E83" s="3">
        <v>116</v>
      </c>
      <c r="F83" s="3">
        <v>6.2</v>
      </c>
      <c r="G83" s="3">
        <v>94001</v>
      </c>
      <c r="H83" s="3">
        <v>3.34</v>
      </c>
      <c r="I83" s="3" t="s">
        <v>11</v>
      </c>
    </row>
    <row r="84" spans="1:9" x14ac:dyDescent="0.25">
      <c r="A84" s="3">
        <v>95</v>
      </c>
      <c r="B84" s="3" t="s">
        <v>113</v>
      </c>
      <c r="C84" s="3" t="s">
        <v>43</v>
      </c>
      <c r="D84" s="3">
        <v>2015</v>
      </c>
      <c r="E84" s="3">
        <v>162</v>
      </c>
      <c r="F84" s="3">
        <v>5.7</v>
      </c>
      <c r="G84" s="3">
        <v>3217</v>
      </c>
      <c r="H84" s="3">
        <v>27.02</v>
      </c>
      <c r="I84" s="3" t="s">
        <v>21</v>
      </c>
    </row>
    <row r="85" spans="1:9" x14ac:dyDescent="0.25">
      <c r="A85" s="3">
        <v>96</v>
      </c>
      <c r="B85" s="3" t="s">
        <v>114</v>
      </c>
      <c r="C85" s="3" t="s">
        <v>16</v>
      </c>
      <c r="D85" s="3">
        <v>2006</v>
      </c>
      <c r="E85" s="3">
        <v>87</v>
      </c>
      <c r="F85" s="3">
        <v>6.2</v>
      </c>
      <c r="G85" s="3">
        <v>60176</v>
      </c>
      <c r="H85" s="3">
        <v>11.76</v>
      </c>
      <c r="I85" s="3" t="s">
        <v>21</v>
      </c>
    </row>
    <row r="86" spans="1:9" x14ac:dyDescent="0.25">
      <c r="A86" s="3">
        <v>97</v>
      </c>
      <c r="B86" s="3" t="s">
        <v>115</v>
      </c>
      <c r="C86" s="3" t="s">
        <v>13</v>
      </c>
      <c r="D86" s="3">
        <v>2009</v>
      </c>
      <c r="E86" s="3">
        <v>144</v>
      </c>
      <c r="F86" s="3">
        <v>0</v>
      </c>
      <c r="G86" s="3">
        <v>28452</v>
      </c>
      <c r="H86" s="3">
        <v>144.19</v>
      </c>
      <c r="I86" s="3" t="s">
        <v>21</v>
      </c>
    </row>
    <row r="87" spans="1:9" x14ac:dyDescent="0.25">
      <c r="A87" s="3">
        <v>98</v>
      </c>
      <c r="B87" s="3" t="s">
        <v>116</v>
      </c>
      <c r="C87" s="3" t="s">
        <v>24</v>
      </c>
      <c r="D87" s="3">
        <v>2022</v>
      </c>
      <c r="E87" s="3">
        <v>165</v>
      </c>
      <c r="F87" s="3">
        <v>4.5999999999999996</v>
      </c>
      <c r="G87" s="3">
        <v>86944</v>
      </c>
      <c r="H87" s="3">
        <v>174.44</v>
      </c>
      <c r="I87" s="3" t="s">
        <v>21</v>
      </c>
    </row>
    <row r="88" spans="1:9" x14ac:dyDescent="0.25">
      <c r="A88" s="3">
        <v>99</v>
      </c>
      <c r="B88" s="3" t="s">
        <v>117</v>
      </c>
      <c r="C88" s="3" t="s">
        <v>24</v>
      </c>
      <c r="D88" s="3">
        <v>2002</v>
      </c>
      <c r="E88" s="3">
        <v>96</v>
      </c>
      <c r="F88" s="3">
        <v>5.3</v>
      </c>
      <c r="G88" s="3">
        <v>42960</v>
      </c>
      <c r="H88" s="3">
        <v>81.87</v>
      </c>
      <c r="I88" s="3" t="s">
        <v>21</v>
      </c>
    </row>
    <row r="89" spans="1:9" x14ac:dyDescent="0.25">
      <c r="A89" s="3">
        <v>101</v>
      </c>
      <c r="B89" s="3" t="s">
        <v>118</v>
      </c>
      <c r="C89" s="3" t="s">
        <v>10</v>
      </c>
      <c r="D89" s="3">
        <v>2023</v>
      </c>
      <c r="E89" s="3">
        <v>168</v>
      </c>
      <c r="F89" s="3">
        <v>4.9000000000000004</v>
      </c>
      <c r="G89" s="3">
        <v>73347</v>
      </c>
      <c r="H89" s="3">
        <v>27.96</v>
      </c>
      <c r="I89" s="3" t="s">
        <v>21</v>
      </c>
    </row>
    <row r="90" spans="1:9" x14ac:dyDescent="0.25">
      <c r="A90" s="3">
        <v>102</v>
      </c>
      <c r="B90" s="3" t="s">
        <v>119</v>
      </c>
      <c r="C90" s="3" t="s">
        <v>43</v>
      </c>
      <c r="D90" s="3">
        <v>2012</v>
      </c>
      <c r="E90" s="3">
        <v>124</v>
      </c>
      <c r="F90" s="3">
        <v>4.3</v>
      </c>
      <c r="G90" s="3">
        <v>94107</v>
      </c>
      <c r="H90" s="3">
        <v>101.24</v>
      </c>
      <c r="I90" s="3" t="s">
        <v>19</v>
      </c>
    </row>
    <row r="91" spans="1:9" x14ac:dyDescent="0.25">
      <c r="A91" s="3">
        <v>104</v>
      </c>
      <c r="B91" s="3" t="s">
        <v>120</v>
      </c>
      <c r="C91" s="3" t="s">
        <v>24</v>
      </c>
      <c r="D91" s="3">
        <v>2003</v>
      </c>
      <c r="E91" s="3">
        <v>115</v>
      </c>
      <c r="F91" s="3">
        <v>3.7</v>
      </c>
      <c r="G91" s="3">
        <v>18949</v>
      </c>
      <c r="H91" s="3">
        <v>219.82</v>
      </c>
      <c r="I91" s="3" t="s">
        <v>17</v>
      </c>
    </row>
    <row r="92" spans="1:9" x14ac:dyDescent="0.25">
      <c r="A92" s="3">
        <v>105</v>
      </c>
      <c r="B92" s="3" t="s">
        <v>121</v>
      </c>
      <c r="C92" s="3" t="s">
        <v>43</v>
      </c>
      <c r="D92" s="3">
        <v>2012</v>
      </c>
      <c r="E92" s="3">
        <v>149</v>
      </c>
      <c r="F92" s="3">
        <v>8.3000000000000007</v>
      </c>
      <c r="G92" s="3">
        <v>34036</v>
      </c>
      <c r="H92" s="3">
        <v>1.5</v>
      </c>
      <c r="I92" s="3" t="s">
        <v>11</v>
      </c>
    </row>
    <row r="93" spans="1:9" x14ac:dyDescent="0.25">
      <c r="A93" s="3">
        <v>106</v>
      </c>
      <c r="B93" s="3" t="s">
        <v>122</v>
      </c>
      <c r="C93" s="3" t="s">
        <v>13</v>
      </c>
      <c r="D93" s="3">
        <v>2019</v>
      </c>
      <c r="E93" s="3">
        <v>110</v>
      </c>
      <c r="F93" s="3">
        <v>0</v>
      </c>
      <c r="G93" s="3">
        <v>64577</v>
      </c>
      <c r="H93" s="3">
        <v>140.46</v>
      </c>
      <c r="I93" s="3" t="s">
        <v>17</v>
      </c>
    </row>
    <row r="94" spans="1:9" x14ac:dyDescent="0.25">
      <c r="A94" s="3">
        <v>108</v>
      </c>
      <c r="B94" s="3" t="s">
        <v>123</v>
      </c>
      <c r="C94" s="3" t="s">
        <v>10</v>
      </c>
      <c r="D94" s="3">
        <v>2007</v>
      </c>
      <c r="E94" s="3">
        <v>140</v>
      </c>
      <c r="F94" s="3">
        <v>7.7</v>
      </c>
      <c r="G94" s="3">
        <v>48802</v>
      </c>
      <c r="H94" s="3">
        <v>255.92</v>
      </c>
      <c r="I94" s="3" t="s">
        <v>30</v>
      </c>
    </row>
    <row r="95" spans="1:9" x14ac:dyDescent="0.25">
      <c r="A95" s="3">
        <v>109</v>
      </c>
      <c r="B95" s="3" t="s">
        <v>124</v>
      </c>
      <c r="C95" s="3" t="s">
        <v>16</v>
      </c>
      <c r="D95" s="3">
        <v>2013</v>
      </c>
      <c r="E95" s="3">
        <v>133</v>
      </c>
      <c r="F95" s="3">
        <v>6</v>
      </c>
      <c r="G95" s="3">
        <v>29365</v>
      </c>
      <c r="H95" s="3">
        <v>214.81</v>
      </c>
      <c r="I95" s="3" t="s">
        <v>30</v>
      </c>
    </row>
    <row r="96" spans="1:9" x14ac:dyDescent="0.25">
      <c r="A96" s="3">
        <v>110</v>
      </c>
      <c r="B96" s="3" t="s">
        <v>125</v>
      </c>
      <c r="C96" s="3" t="s">
        <v>16</v>
      </c>
      <c r="D96" s="3">
        <v>2015</v>
      </c>
      <c r="E96" s="3">
        <v>118</v>
      </c>
      <c r="F96" s="3">
        <v>3.5</v>
      </c>
      <c r="G96" s="3">
        <v>7145</v>
      </c>
      <c r="H96" s="3">
        <v>176.94</v>
      </c>
      <c r="I96" s="3" t="s">
        <v>30</v>
      </c>
    </row>
    <row r="97" spans="1:9" x14ac:dyDescent="0.25">
      <c r="A97" s="3">
        <v>112</v>
      </c>
      <c r="B97" s="3" t="s">
        <v>126</v>
      </c>
      <c r="C97" s="3" t="s">
        <v>16</v>
      </c>
      <c r="D97" s="3">
        <v>2011</v>
      </c>
      <c r="E97" s="3">
        <v>153</v>
      </c>
      <c r="F97" s="3">
        <v>6.5</v>
      </c>
      <c r="G97" s="3">
        <v>27237</v>
      </c>
      <c r="H97" s="3">
        <v>273.14999999999998</v>
      </c>
      <c r="I97" s="3" t="s">
        <v>19</v>
      </c>
    </row>
    <row r="98" spans="1:9" x14ac:dyDescent="0.25">
      <c r="A98" s="3">
        <v>113</v>
      </c>
      <c r="B98" s="3" t="s">
        <v>127</v>
      </c>
      <c r="C98" s="3" t="s">
        <v>13</v>
      </c>
      <c r="D98" s="3">
        <v>2018</v>
      </c>
      <c r="E98" s="3">
        <v>169</v>
      </c>
      <c r="F98" s="3">
        <v>7.5</v>
      </c>
      <c r="G98" s="3">
        <v>11985</v>
      </c>
      <c r="H98" s="3">
        <v>14.01</v>
      </c>
      <c r="I98" s="3" t="s">
        <v>21</v>
      </c>
    </row>
    <row r="99" spans="1:9" x14ac:dyDescent="0.25">
      <c r="A99" s="3">
        <v>114</v>
      </c>
      <c r="B99" s="3" t="s">
        <v>128</v>
      </c>
      <c r="C99" s="3" t="s">
        <v>16</v>
      </c>
      <c r="D99" s="3">
        <v>2022</v>
      </c>
      <c r="E99" s="3">
        <v>98</v>
      </c>
      <c r="F99" s="3">
        <v>5.6</v>
      </c>
      <c r="G99" s="3">
        <v>39065</v>
      </c>
      <c r="H99" s="3">
        <v>33.29</v>
      </c>
      <c r="I99" s="3" t="s">
        <v>19</v>
      </c>
    </row>
    <row r="100" spans="1:9" x14ac:dyDescent="0.25">
      <c r="A100" s="3">
        <v>115</v>
      </c>
      <c r="B100" s="3" t="s">
        <v>129</v>
      </c>
      <c r="C100" s="3" t="s">
        <v>43</v>
      </c>
      <c r="D100" s="3">
        <v>2014</v>
      </c>
      <c r="E100" s="3">
        <v>118</v>
      </c>
      <c r="F100" s="3">
        <v>0</v>
      </c>
      <c r="G100" s="3">
        <v>26022</v>
      </c>
      <c r="H100" s="3">
        <v>117.79</v>
      </c>
      <c r="I100" s="3" t="s">
        <v>19</v>
      </c>
    </row>
    <row r="101" spans="1:9" x14ac:dyDescent="0.25">
      <c r="A101" s="3">
        <v>116</v>
      </c>
      <c r="B101" s="3" t="s">
        <v>130</v>
      </c>
      <c r="C101" s="3" t="s">
        <v>13</v>
      </c>
      <c r="D101" s="3">
        <v>2001</v>
      </c>
      <c r="E101" s="3">
        <v>146</v>
      </c>
      <c r="F101" s="3">
        <v>4.7</v>
      </c>
      <c r="G101" s="3">
        <v>65655</v>
      </c>
      <c r="H101" s="3">
        <v>37.770000000000003</v>
      </c>
      <c r="I101" s="3" t="s">
        <v>17</v>
      </c>
    </row>
    <row r="102" spans="1:9" x14ac:dyDescent="0.25">
      <c r="A102" s="3">
        <v>117</v>
      </c>
      <c r="B102" s="3" t="s">
        <v>131</v>
      </c>
      <c r="C102" s="3" t="s">
        <v>24</v>
      </c>
      <c r="D102" s="3">
        <v>2001</v>
      </c>
      <c r="E102" s="3">
        <v>124</v>
      </c>
      <c r="F102" s="3">
        <v>5.2</v>
      </c>
      <c r="G102" s="3">
        <v>55668</v>
      </c>
      <c r="H102" s="3">
        <v>286.95</v>
      </c>
      <c r="I102" s="3" t="s">
        <v>17</v>
      </c>
    </row>
    <row r="103" spans="1:9" x14ac:dyDescent="0.25">
      <c r="A103" s="3">
        <v>118</v>
      </c>
      <c r="B103" s="3" t="s">
        <v>132</v>
      </c>
      <c r="C103" s="3" t="s">
        <v>16</v>
      </c>
      <c r="D103" s="3">
        <v>2022</v>
      </c>
      <c r="E103" s="3">
        <v>92</v>
      </c>
      <c r="F103" s="3">
        <v>0</v>
      </c>
      <c r="G103" s="3">
        <v>52987</v>
      </c>
      <c r="H103" s="3">
        <v>239.5</v>
      </c>
      <c r="I103" s="3" t="s">
        <v>19</v>
      </c>
    </row>
    <row r="104" spans="1:9" x14ac:dyDescent="0.25">
      <c r="A104" s="3">
        <v>119</v>
      </c>
      <c r="B104" s="3" t="s">
        <v>133</v>
      </c>
      <c r="C104" s="3" t="s">
        <v>43</v>
      </c>
      <c r="D104" s="3">
        <v>2021</v>
      </c>
      <c r="E104" s="3">
        <v>171</v>
      </c>
      <c r="F104" s="3">
        <v>6.4</v>
      </c>
      <c r="G104" s="3">
        <v>12842</v>
      </c>
      <c r="H104" s="3">
        <v>78.069999999999993</v>
      </c>
      <c r="I104" s="3" t="s">
        <v>19</v>
      </c>
    </row>
    <row r="105" spans="1:9" x14ac:dyDescent="0.25">
      <c r="A105" s="3">
        <v>121</v>
      </c>
      <c r="B105" s="3" t="s">
        <v>134</v>
      </c>
      <c r="C105" s="3" t="s">
        <v>24</v>
      </c>
      <c r="D105" s="3">
        <v>2021</v>
      </c>
      <c r="E105" s="3">
        <v>99</v>
      </c>
      <c r="F105" s="3">
        <v>8.9</v>
      </c>
      <c r="G105" s="3">
        <v>49270</v>
      </c>
      <c r="H105" s="3">
        <v>294.70999999999998</v>
      </c>
      <c r="I105" s="3" t="s">
        <v>21</v>
      </c>
    </row>
    <row r="106" spans="1:9" x14ac:dyDescent="0.25">
      <c r="A106" s="3">
        <v>122</v>
      </c>
      <c r="B106" s="3" t="s">
        <v>135</v>
      </c>
      <c r="C106" s="3" t="s">
        <v>10</v>
      </c>
      <c r="D106" s="3">
        <v>2021</v>
      </c>
      <c r="E106" s="3">
        <v>171</v>
      </c>
      <c r="F106" s="3">
        <v>6.6</v>
      </c>
      <c r="G106" s="3">
        <v>79123</v>
      </c>
      <c r="H106" s="3">
        <v>265.32</v>
      </c>
      <c r="I106" s="3" t="s">
        <v>17</v>
      </c>
    </row>
    <row r="107" spans="1:9" x14ac:dyDescent="0.25">
      <c r="A107" s="3">
        <v>123</v>
      </c>
      <c r="B107" s="3" t="s">
        <v>136</v>
      </c>
      <c r="C107" s="3" t="s">
        <v>13</v>
      </c>
      <c r="D107" s="3">
        <v>2016</v>
      </c>
      <c r="E107" s="3">
        <v>151</v>
      </c>
      <c r="F107" s="3">
        <v>4.4000000000000004</v>
      </c>
      <c r="G107" s="3">
        <v>76129</v>
      </c>
      <c r="H107" s="3">
        <v>180.44</v>
      </c>
      <c r="I107" s="3" t="s">
        <v>30</v>
      </c>
    </row>
    <row r="108" spans="1:9" x14ac:dyDescent="0.25">
      <c r="A108" s="3">
        <v>124</v>
      </c>
      <c r="B108" s="3" t="s">
        <v>137</v>
      </c>
      <c r="C108" s="3" t="s">
        <v>16</v>
      </c>
      <c r="D108" s="3">
        <v>2019</v>
      </c>
      <c r="E108" s="3">
        <v>140</v>
      </c>
      <c r="F108" s="3">
        <v>3.6</v>
      </c>
      <c r="G108" s="3">
        <v>53103</v>
      </c>
      <c r="H108" s="3">
        <v>271.17</v>
      </c>
      <c r="I108" s="3" t="s">
        <v>19</v>
      </c>
    </row>
    <row r="109" spans="1:9" x14ac:dyDescent="0.25">
      <c r="A109" s="3">
        <v>125</v>
      </c>
      <c r="B109" s="3" t="s">
        <v>138</v>
      </c>
      <c r="C109" s="3" t="s">
        <v>43</v>
      </c>
      <c r="D109" s="3">
        <v>2009</v>
      </c>
      <c r="E109" s="3">
        <v>118</v>
      </c>
      <c r="F109" s="3">
        <v>3.9</v>
      </c>
      <c r="G109" s="3">
        <v>82474</v>
      </c>
      <c r="H109" s="3">
        <v>296.76</v>
      </c>
      <c r="I109" s="3" t="s">
        <v>21</v>
      </c>
    </row>
    <row r="110" spans="1:9" x14ac:dyDescent="0.25">
      <c r="A110" s="3">
        <v>126</v>
      </c>
      <c r="B110" s="3" t="s">
        <v>139</v>
      </c>
      <c r="C110" s="3" t="s">
        <v>10</v>
      </c>
      <c r="D110" s="3">
        <v>2005</v>
      </c>
      <c r="E110" s="3">
        <v>80</v>
      </c>
      <c r="F110" s="3">
        <v>4.5</v>
      </c>
      <c r="G110" s="3">
        <v>26899</v>
      </c>
      <c r="H110" s="3">
        <v>223.13</v>
      </c>
      <c r="I110" s="3" t="s">
        <v>17</v>
      </c>
    </row>
    <row r="111" spans="1:9" x14ac:dyDescent="0.25">
      <c r="A111" s="3">
        <v>127</v>
      </c>
      <c r="B111" s="3" t="s">
        <v>140</v>
      </c>
      <c r="C111" s="3" t="s">
        <v>13</v>
      </c>
      <c r="D111" s="3">
        <v>2014</v>
      </c>
      <c r="E111" s="3">
        <v>82</v>
      </c>
      <c r="F111" s="3">
        <v>4</v>
      </c>
      <c r="G111" s="3">
        <v>85882</v>
      </c>
      <c r="H111" s="3">
        <v>19.96</v>
      </c>
      <c r="I111" s="3" t="s">
        <v>21</v>
      </c>
    </row>
    <row r="112" spans="1:9" x14ac:dyDescent="0.25">
      <c r="A112" s="3">
        <v>128</v>
      </c>
      <c r="B112" s="3" t="s">
        <v>141</v>
      </c>
      <c r="C112" s="3" t="s">
        <v>10</v>
      </c>
      <c r="D112" s="3">
        <v>2021</v>
      </c>
      <c r="E112" s="3">
        <v>156</v>
      </c>
      <c r="F112" s="3">
        <v>4.0999999999999996</v>
      </c>
      <c r="G112" s="3">
        <v>81744</v>
      </c>
      <c r="H112" s="3">
        <v>120.77</v>
      </c>
      <c r="I112" s="3" t="s">
        <v>19</v>
      </c>
    </row>
    <row r="113" spans="1:9" x14ac:dyDescent="0.25">
      <c r="A113" s="3">
        <v>129</v>
      </c>
      <c r="B113" s="3" t="s">
        <v>142</v>
      </c>
      <c r="C113" s="3" t="s">
        <v>13</v>
      </c>
      <c r="D113" s="3">
        <v>2010</v>
      </c>
      <c r="E113" s="3">
        <v>171</v>
      </c>
      <c r="F113" s="3">
        <v>4.7</v>
      </c>
      <c r="G113" s="3">
        <v>77034</v>
      </c>
      <c r="H113" s="3">
        <v>251.43</v>
      </c>
      <c r="I113" s="3" t="s">
        <v>19</v>
      </c>
    </row>
    <row r="114" spans="1:9" x14ac:dyDescent="0.25">
      <c r="A114" s="3">
        <v>130</v>
      </c>
      <c r="B114" s="3" t="s">
        <v>143</v>
      </c>
      <c r="C114" s="3" t="s">
        <v>13</v>
      </c>
      <c r="D114" s="3">
        <v>2004</v>
      </c>
      <c r="E114" s="3">
        <v>141</v>
      </c>
      <c r="F114" s="3">
        <v>4</v>
      </c>
      <c r="G114" s="3">
        <v>55606</v>
      </c>
      <c r="H114" s="3">
        <v>69.56</v>
      </c>
      <c r="I114" s="3" t="s">
        <v>11</v>
      </c>
    </row>
    <row r="115" spans="1:9" x14ac:dyDescent="0.25">
      <c r="A115" s="3">
        <v>131</v>
      </c>
      <c r="B115" s="3" t="s">
        <v>144</v>
      </c>
      <c r="C115" s="3" t="s">
        <v>16</v>
      </c>
      <c r="D115" s="3">
        <v>2000</v>
      </c>
      <c r="E115" s="3">
        <v>142</v>
      </c>
      <c r="F115" s="3">
        <v>0</v>
      </c>
      <c r="G115" s="3">
        <v>31178</v>
      </c>
      <c r="H115" s="3">
        <v>249.28</v>
      </c>
      <c r="I115" s="3" t="s">
        <v>30</v>
      </c>
    </row>
    <row r="116" spans="1:9" x14ac:dyDescent="0.25">
      <c r="A116" s="3">
        <v>132</v>
      </c>
      <c r="B116" s="3" t="s">
        <v>145</v>
      </c>
      <c r="C116" s="3" t="s">
        <v>13</v>
      </c>
      <c r="D116" s="3">
        <v>2007</v>
      </c>
      <c r="E116" s="3">
        <v>104</v>
      </c>
      <c r="F116" s="3">
        <v>3.5</v>
      </c>
      <c r="G116" s="3">
        <v>76718</v>
      </c>
      <c r="H116" s="3">
        <v>36.54</v>
      </c>
      <c r="I116" s="3" t="s">
        <v>11</v>
      </c>
    </row>
    <row r="117" spans="1:9" x14ac:dyDescent="0.25">
      <c r="A117" s="3">
        <v>134</v>
      </c>
      <c r="B117" s="3" t="s">
        <v>146</v>
      </c>
      <c r="C117" s="3" t="s">
        <v>13</v>
      </c>
      <c r="D117" s="3">
        <v>2011</v>
      </c>
      <c r="E117" s="3">
        <v>112</v>
      </c>
      <c r="F117" s="3">
        <v>5.5</v>
      </c>
      <c r="G117" s="3">
        <v>74555</v>
      </c>
      <c r="H117" s="3">
        <v>115.54</v>
      </c>
      <c r="I117" s="3" t="s">
        <v>21</v>
      </c>
    </row>
    <row r="118" spans="1:9" x14ac:dyDescent="0.25">
      <c r="A118" s="3">
        <v>135</v>
      </c>
      <c r="B118" s="3" t="s">
        <v>147</v>
      </c>
      <c r="C118" s="3" t="s">
        <v>16</v>
      </c>
      <c r="D118" s="3">
        <v>2011</v>
      </c>
      <c r="E118" s="3">
        <v>117</v>
      </c>
      <c r="F118" s="3">
        <v>0</v>
      </c>
      <c r="G118" s="3">
        <v>56873</v>
      </c>
      <c r="H118" s="3">
        <v>11.5</v>
      </c>
      <c r="I118" s="3" t="s">
        <v>17</v>
      </c>
    </row>
    <row r="119" spans="1:9" x14ac:dyDescent="0.25">
      <c r="A119" s="3">
        <v>136</v>
      </c>
      <c r="B119" s="3" t="s">
        <v>148</v>
      </c>
      <c r="C119" s="3" t="s">
        <v>16</v>
      </c>
      <c r="D119" s="3">
        <v>2004</v>
      </c>
      <c r="E119" s="3">
        <v>85</v>
      </c>
      <c r="F119" s="3">
        <v>3.7</v>
      </c>
      <c r="G119" s="3">
        <v>31980</v>
      </c>
      <c r="H119" s="3">
        <v>287.2</v>
      </c>
      <c r="I119" s="3" t="s">
        <v>19</v>
      </c>
    </row>
    <row r="120" spans="1:9" x14ac:dyDescent="0.25">
      <c r="A120" s="3">
        <v>137</v>
      </c>
      <c r="B120" s="3" t="s">
        <v>149</v>
      </c>
      <c r="C120" s="3" t="s">
        <v>10</v>
      </c>
      <c r="D120" s="3">
        <v>2006</v>
      </c>
      <c r="E120" s="3">
        <v>137</v>
      </c>
      <c r="F120" s="3">
        <v>5.4</v>
      </c>
      <c r="G120" s="3">
        <v>85730</v>
      </c>
      <c r="H120" s="3">
        <v>247.95</v>
      </c>
      <c r="I120" s="3" t="s">
        <v>11</v>
      </c>
    </row>
    <row r="121" spans="1:9" x14ac:dyDescent="0.25">
      <c r="A121" s="3">
        <v>139</v>
      </c>
      <c r="B121" s="3" t="s">
        <v>150</v>
      </c>
      <c r="C121" s="3" t="s">
        <v>24</v>
      </c>
      <c r="D121" s="3">
        <v>2005</v>
      </c>
      <c r="E121" s="3">
        <v>124</v>
      </c>
      <c r="F121" s="3">
        <v>8.1999999999999993</v>
      </c>
      <c r="G121" s="3">
        <v>72758</v>
      </c>
      <c r="H121" s="3">
        <v>189.12</v>
      </c>
      <c r="I121" s="3" t="s">
        <v>11</v>
      </c>
    </row>
    <row r="122" spans="1:9" x14ac:dyDescent="0.25">
      <c r="A122" s="3">
        <v>140</v>
      </c>
      <c r="B122" s="3" t="s">
        <v>151</v>
      </c>
      <c r="C122" s="3" t="s">
        <v>13</v>
      </c>
      <c r="D122" s="3">
        <v>2012</v>
      </c>
      <c r="E122" s="3">
        <v>111</v>
      </c>
      <c r="F122" s="3">
        <v>7.9</v>
      </c>
      <c r="G122" s="3">
        <v>40486</v>
      </c>
      <c r="H122" s="3">
        <v>65.290000000000006</v>
      </c>
      <c r="I122" s="3" t="s">
        <v>17</v>
      </c>
    </row>
    <row r="123" spans="1:9" x14ac:dyDescent="0.25">
      <c r="A123" s="3">
        <v>141</v>
      </c>
      <c r="B123" s="3" t="s">
        <v>152</v>
      </c>
      <c r="C123" s="3" t="s">
        <v>43</v>
      </c>
      <c r="D123" s="3">
        <v>2019</v>
      </c>
      <c r="E123" s="3">
        <v>124</v>
      </c>
      <c r="F123" s="3">
        <v>4.5</v>
      </c>
      <c r="G123" s="3">
        <v>24660</v>
      </c>
      <c r="H123" s="3">
        <v>155.72</v>
      </c>
      <c r="I123" s="3" t="s">
        <v>19</v>
      </c>
    </row>
    <row r="124" spans="1:9" x14ac:dyDescent="0.25">
      <c r="A124" s="3">
        <v>142</v>
      </c>
      <c r="B124" s="3" t="s">
        <v>153</v>
      </c>
      <c r="C124" s="3" t="s">
        <v>13</v>
      </c>
      <c r="D124" s="3">
        <v>2014</v>
      </c>
      <c r="E124" s="3">
        <v>140</v>
      </c>
      <c r="F124" s="3">
        <v>4</v>
      </c>
      <c r="G124" s="3">
        <v>86095</v>
      </c>
      <c r="H124" s="3">
        <v>179.38</v>
      </c>
      <c r="I124" s="3" t="s">
        <v>21</v>
      </c>
    </row>
    <row r="125" spans="1:9" x14ac:dyDescent="0.25">
      <c r="A125" s="3">
        <v>143</v>
      </c>
      <c r="B125" s="3" t="s">
        <v>154</v>
      </c>
      <c r="C125" s="3" t="s">
        <v>10</v>
      </c>
      <c r="D125" s="3">
        <v>2002</v>
      </c>
      <c r="E125" s="3">
        <v>126</v>
      </c>
      <c r="F125" s="3">
        <v>7</v>
      </c>
      <c r="G125" s="3">
        <v>79611</v>
      </c>
      <c r="H125" s="3">
        <v>157.75</v>
      </c>
      <c r="I125" s="3" t="s">
        <v>21</v>
      </c>
    </row>
    <row r="126" spans="1:9" x14ac:dyDescent="0.25">
      <c r="A126" s="3">
        <v>144</v>
      </c>
      <c r="B126" s="3" t="s">
        <v>155</v>
      </c>
      <c r="C126" s="3" t="s">
        <v>10</v>
      </c>
      <c r="D126" s="3">
        <v>2022</v>
      </c>
      <c r="E126" s="3">
        <v>100</v>
      </c>
      <c r="F126" s="3">
        <v>8.6</v>
      </c>
      <c r="G126" s="3">
        <v>65429</v>
      </c>
      <c r="H126" s="3">
        <v>78.44</v>
      </c>
      <c r="I126" s="3" t="s">
        <v>17</v>
      </c>
    </row>
    <row r="127" spans="1:9" x14ac:dyDescent="0.25">
      <c r="A127" s="3">
        <v>145</v>
      </c>
      <c r="B127" s="3" t="s">
        <v>156</v>
      </c>
      <c r="C127" s="3" t="s">
        <v>10</v>
      </c>
      <c r="D127" s="3">
        <v>2007</v>
      </c>
      <c r="E127" s="3">
        <v>159</v>
      </c>
      <c r="F127" s="3">
        <v>6.3</v>
      </c>
      <c r="G127" s="3">
        <v>74006</v>
      </c>
      <c r="H127" s="3">
        <v>154.82</v>
      </c>
      <c r="I127" s="3" t="s">
        <v>11</v>
      </c>
    </row>
    <row r="128" spans="1:9" x14ac:dyDescent="0.25">
      <c r="A128" s="3">
        <v>146</v>
      </c>
      <c r="B128" s="3" t="s">
        <v>157</v>
      </c>
      <c r="C128" s="3" t="s">
        <v>10</v>
      </c>
      <c r="D128" s="3">
        <v>2019</v>
      </c>
      <c r="E128" s="3">
        <v>164</v>
      </c>
      <c r="F128" s="3">
        <v>6.4</v>
      </c>
      <c r="G128" s="3">
        <v>35411</v>
      </c>
      <c r="H128" s="3">
        <v>147.61000000000001</v>
      </c>
      <c r="I128" s="3" t="s">
        <v>30</v>
      </c>
    </row>
    <row r="129" spans="1:9" x14ac:dyDescent="0.25">
      <c r="A129" s="3">
        <v>148</v>
      </c>
      <c r="B129" s="3" t="s">
        <v>158</v>
      </c>
      <c r="C129" s="3" t="s">
        <v>16</v>
      </c>
      <c r="D129" s="3">
        <v>2012</v>
      </c>
      <c r="E129" s="3">
        <v>115</v>
      </c>
      <c r="F129" s="3">
        <v>7.6</v>
      </c>
      <c r="G129" s="3">
        <v>32321</v>
      </c>
      <c r="H129" s="3">
        <v>269.27999999999997</v>
      </c>
      <c r="I129" s="3" t="s">
        <v>17</v>
      </c>
    </row>
    <row r="130" spans="1:9" x14ac:dyDescent="0.25">
      <c r="A130" s="3">
        <v>149</v>
      </c>
      <c r="B130" s="3" t="s">
        <v>159</v>
      </c>
      <c r="C130" s="3" t="s">
        <v>24</v>
      </c>
      <c r="D130" s="3">
        <v>2017</v>
      </c>
      <c r="E130" s="3">
        <v>178</v>
      </c>
      <c r="F130" s="3">
        <v>4.0999999999999996</v>
      </c>
      <c r="G130" s="3">
        <v>75539</v>
      </c>
      <c r="H130" s="3">
        <v>139.28</v>
      </c>
      <c r="I130" s="3" t="s">
        <v>19</v>
      </c>
    </row>
    <row r="131" spans="1:9" x14ac:dyDescent="0.25">
      <c r="A131" s="3">
        <v>150</v>
      </c>
      <c r="B131" s="3" t="s">
        <v>160</v>
      </c>
      <c r="C131" s="3" t="s">
        <v>10</v>
      </c>
      <c r="D131" s="3">
        <v>2009</v>
      </c>
      <c r="E131" s="3">
        <v>98</v>
      </c>
      <c r="F131" s="3">
        <v>0</v>
      </c>
      <c r="G131" s="3">
        <v>61035</v>
      </c>
      <c r="H131" s="3">
        <v>187.07</v>
      </c>
      <c r="I131" s="3" t="s">
        <v>21</v>
      </c>
    </row>
    <row r="132" spans="1:9" x14ac:dyDescent="0.25">
      <c r="A132" s="3">
        <v>151</v>
      </c>
      <c r="B132" s="3" t="s">
        <v>161</v>
      </c>
      <c r="C132" s="3" t="s">
        <v>43</v>
      </c>
      <c r="D132" s="3">
        <v>2018</v>
      </c>
      <c r="E132" s="3">
        <v>99</v>
      </c>
      <c r="F132" s="3">
        <v>5.6</v>
      </c>
      <c r="G132" s="3">
        <v>84958</v>
      </c>
      <c r="H132" s="3">
        <v>224.49</v>
      </c>
      <c r="I132" s="3" t="s">
        <v>17</v>
      </c>
    </row>
    <row r="133" spans="1:9" x14ac:dyDescent="0.25">
      <c r="A133" s="3">
        <v>152</v>
      </c>
      <c r="B133" s="3" t="s">
        <v>162</v>
      </c>
      <c r="C133" s="3" t="s">
        <v>43</v>
      </c>
      <c r="D133" s="3">
        <v>2016</v>
      </c>
      <c r="E133" s="3">
        <v>136</v>
      </c>
      <c r="F133" s="3">
        <v>6</v>
      </c>
      <c r="G133" s="3">
        <v>12675</v>
      </c>
      <c r="H133" s="3">
        <v>10.94</v>
      </c>
      <c r="I133" s="3" t="s">
        <v>17</v>
      </c>
    </row>
    <row r="134" spans="1:9" x14ac:dyDescent="0.25">
      <c r="A134" s="3">
        <v>157</v>
      </c>
      <c r="B134" s="3" t="s">
        <v>163</v>
      </c>
      <c r="C134" s="3" t="s">
        <v>10</v>
      </c>
      <c r="D134" s="3">
        <v>2020</v>
      </c>
      <c r="E134" s="3">
        <v>94</v>
      </c>
      <c r="F134" s="3">
        <v>6.5</v>
      </c>
      <c r="G134" s="3">
        <v>47557</v>
      </c>
      <c r="H134" s="3">
        <v>82.25</v>
      </c>
      <c r="I134" s="3" t="s">
        <v>30</v>
      </c>
    </row>
    <row r="135" spans="1:9" x14ac:dyDescent="0.25">
      <c r="A135" s="3">
        <v>158</v>
      </c>
      <c r="B135" s="3" t="s">
        <v>164</v>
      </c>
      <c r="C135" s="3" t="s">
        <v>13</v>
      </c>
      <c r="D135" s="3">
        <v>2022</v>
      </c>
      <c r="E135" s="3">
        <v>110</v>
      </c>
      <c r="F135" s="3">
        <v>3.9</v>
      </c>
      <c r="G135" s="3">
        <v>6650</v>
      </c>
      <c r="H135" s="3">
        <v>143.26</v>
      </c>
      <c r="I135" s="3" t="s">
        <v>11</v>
      </c>
    </row>
    <row r="136" spans="1:9" x14ac:dyDescent="0.25">
      <c r="A136" s="3">
        <v>159</v>
      </c>
      <c r="B136" s="3" t="s">
        <v>165</v>
      </c>
      <c r="C136" s="3" t="s">
        <v>43</v>
      </c>
      <c r="D136" s="3">
        <v>2008</v>
      </c>
      <c r="E136" s="3">
        <v>80</v>
      </c>
      <c r="F136" s="3">
        <v>5.9</v>
      </c>
      <c r="G136" s="3">
        <v>4925</v>
      </c>
      <c r="H136" s="3">
        <v>13.79</v>
      </c>
      <c r="I136" s="3" t="s">
        <v>21</v>
      </c>
    </row>
    <row r="137" spans="1:9" x14ac:dyDescent="0.25">
      <c r="A137" s="3">
        <v>160</v>
      </c>
      <c r="B137" s="3" t="s">
        <v>166</v>
      </c>
      <c r="C137" s="3" t="s">
        <v>16</v>
      </c>
      <c r="D137" s="3">
        <v>2011</v>
      </c>
      <c r="E137" s="3">
        <v>133</v>
      </c>
      <c r="F137" s="3">
        <v>6.2</v>
      </c>
      <c r="G137" s="3">
        <v>16532</v>
      </c>
      <c r="H137" s="3">
        <v>255.73</v>
      </c>
      <c r="I137" s="3" t="s">
        <v>11</v>
      </c>
    </row>
    <row r="138" spans="1:9" x14ac:dyDescent="0.25">
      <c r="A138" s="3">
        <v>161</v>
      </c>
      <c r="B138" s="3" t="s">
        <v>167</v>
      </c>
      <c r="C138" s="3" t="s">
        <v>16</v>
      </c>
      <c r="D138" s="3">
        <v>2020</v>
      </c>
      <c r="E138" s="3">
        <v>82</v>
      </c>
      <c r="F138" s="3">
        <v>3.3</v>
      </c>
      <c r="G138" s="3">
        <v>2698</v>
      </c>
      <c r="H138" s="3">
        <v>11.11</v>
      </c>
      <c r="I138" s="3" t="s">
        <v>19</v>
      </c>
    </row>
    <row r="139" spans="1:9" x14ac:dyDescent="0.25">
      <c r="A139" s="3">
        <v>162</v>
      </c>
      <c r="B139" s="3" t="s">
        <v>168</v>
      </c>
      <c r="C139" s="3" t="s">
        <v>43</v>
      </c>
      <c r="D139" s="3">
        <v>2000</v>
      </c>
      <c r="E139" s="3">
        <v>95</v>
      </c>
      <c r="F139" s="3">
        <v>5</v>
      </c>
      <c r="G139" s="3">
        <v>61000</v>
      </c>
      <c r="H139" s="3">
        <v>99.05</v>
      </c>
      <c r="I139" s="3" t="s">
        <v>11</v>
      </c>
    </row>
    <row r="140" spans="1:9" x14ac:dyDescent="0.25">
      <c r="A140" s="3">
        <v>163</v>
      </c>
      <c r="B140" s="3" t="s">
        <v>169</v>
      </c>
      <c r="C140" s="3" t="s">
        <v>13</v>
      </c>
      <c r="D140" s="3">
        <v>2000</v>
      </c>
      <c r="E140" s="3">
        <v>166</v>
      </c>
      <c r="F140" s="3">
        <v>0</v>
      </c>
      <c r="G140" s="3">
        <v>53894</v>
      </c>
      <c r="H140" s="3">
        <v>279.51</v>
      </c>
      <c r="I140" s="3" t="s">
        <v>19</v>
      </c>
    </row>
    <row r="141" spans="1:9" x14ac:dyDescent="0.25">
      <c r="A141" s="3">
        <v>164</v>
      </c>
      <c r="B141" s="3" t="s">
        <v>170</v>
      </c>
      <c r="C141" s="3" t="s">
        <v>43</v>
      </c>
      <c r="D141" s="3">
        <v>2014</v>
      </c>
      <c r="E141" s="3">
        <v>136</v>
      </c>
      <c r="F141" s="3">
        <v>3.4</v>
      </c>
      <c r="G141" s="3">
        <v>20579</v>
      </c>
      <c r="H141" s="3">
        <v>220.7</v>
      </c>
      <c r="I141" s="3" t="s">
        <v>19</v>
      </c>
    </row>
    <row r="142" spans="1:9" x14ac:dyDescent="0.25">
      <c r="A142" s="3">
        <v>165</v>
      </c>
      <c r="B142" s="3" t="s">
        <v>171</v>
      </c>
      <c r="C142" s="3" t="s">
        <v>16</v>
      </c>
      <c r="D142" s="3">
        <v>2001</v>
      </c>
      <c r="E142" s="3">
        <v>154</v>
      </c>
      <c r="F142" s="3">
        <v>8.9</v>
      </c>
      <c r="G142" s="3">
        <v>36720</v>
      </c>
      <c r="H142" s="3">
        <v>84.78</v>
      </c>
      <c r="I142" s="3" t="s">
        <v>19</v>
      </c>
    </row>
    <row r="143" spans="1:9" x14ac:dyDescent="0.25">
      <c r="A143" s="3">
        <v>166</v>
      </c>
      <c r="B143" s="3" t="s">
        <v>172</v>
      </c>
      <c r="C143" s="3" t="s">
        <v>24</v>
      </c>
      <c r="D143" s="3">
        <v>2021</v>
      </c>
      <c r="E143" s="3">
        <v>91</v>
      </c>
      <c r="F143" s="3">
        <v>4.9000000000000004</v>
      </c>
      <c r="G143" s="3">
        <v>42374</v>
      </c>
      <c r="H143" s="3">
        <v>76.17</v>
      </c>
      <c r="I143" s="3" t="s">
        <v>19</v>
      </c>
    </row>
    <row r="144" spans="1:9" x14ac:dyDescent="0.25">
      <c r="A144" s="3">
        <v>167</v>
      </c>
      <c r="B144" s="3" t="s">
        <v>173</v>
      </c>
      <c r="C144" s="3" t="s">
        <v>10</v>
      </c>
      <c r="D144" s="3">
        <v>2015</v>
      </c>
      <c r="E144" s="3">
        <v>153</v>
      </c>
      <c r="F144" s="3">
        <v>7.9</v>
      </c>
      <c r="G144" s="3">
        <v>14359</v>
      </c>
      <c r="H144" s="3">
        <v>2.02</v>
      </c>
      <c r="I144" s="3" t="s">
        <v>19</v>
      </c>
    </row>
    <row r="145" spans="1:9" x14ac:dyDescent="0.25">
      <c r="A145" s="3">
        <v>168</v>
      </c>
      <c r="B145" s="3" t="s">
        <v>174</v>
      </c>
      <c r="C145" s="3" t="s">
        <v>16</v>
      </c>
      <c r="D145" s="3">
        <v>2007</v>
      </c>
      <c r="E145" s="3">
        <v>175</v>
      </c>
      <c r="F145" s="3">
        <v>4.5</v>
      </c>
      <c r="G145" s="3">
        <v>50960</v>
      </c>
      <c r="H145" s="3">
        <v>208.87</v>
      </c>
      <c r="I145" s="3" t="s">
        <v>21</v>
      </c>
    </row>
    <row r="146" spans="1:9" x14ac:dyDescent="0.25">
      <c r="A146" s="3">
        <v>169</v>
      </c>
      <c r="B146" s="3" t="s">
        <v>175</v>
      </c>
      <c r="C146" s="3" t="s">
        <v>43</v>
      </c>
      <c r="D146" s="3">
        <v>2012</v>
      </c>
      <c r="E146" s="3">
        <v>95</v>
      </c>
      <c r="F146" s="3">
        <v>7.1</v>
      </c>
      <c r="G146" s="3">
        <v>31919</v>
      </c>
      <c r="H146" s="3">
        <v>15.11</v>
      </c>
      <c r="I146" s="3" t="s">
        <v>30</v>
      </c>
    </row>
    <row r="147" spans="1:9" x14ac:dyDescent="0.25">
      <c r="A147" s="3">
        <v>170</v>
      </c>
      <c r="B147" s="3" t="s">
        <v>176</v>
      </c>
      <c r="C147" s="3" t="s">
        <v>10</v>
      </c>
      <c r="D147" s="3">
        <v>2020</v>
      </c>
      <c r="E147" s="3">
        <v>151</v>
      </c>
      <c r="F147" s="3">
        <v>0</v>
      </c>
      <c r="G147" s="3">
        <v>9205</v>
      </c>
      <c r="H147" s="3">
        <v>160.01</v>
      </c>
      <c r="I147" s="3" t="s">
        <v>17</v>
      </c>
    </row>
    <row r="148" spans="1:9" x14ac:dyDescent="0.25">
      <c r="A148" s="3">
        <v>174</v>
      </c>
      <c r="B148" s="3" t="s">
        <v>177</v>
      </c>
      <c r="C148" s="3" t="s">
        <v>10</v>
      </c>
      <c r="D148" s="3">
        <v>2004</v>
      </c>
      <c r="E148" s="3">
        <v>87</v>
      </c>
      <c r="F148" s="3">
        <v>5.0999999999999996</v>
      </c>
      <c r="G148" s="3">
        <v>86014</v>
      </c>
      <c r="H148" s="3">
        <v>297.45</v>
      </c>
      <c r="I148" s="3" t="s">
        <v>11</v>
      </c>
    </row>
    <row r="149" spans="1:9" x14ac:dyDescent="0.25">
      <c r="A149" s="3">
        <v>175</v>
      </c>
      <c r="B149" s="3" t="s">
        <v>178</v>
      </c>
      <c r="C149" s="3" t="s">
        <v>10</v>
      </c>
      <c r="D149" s="3">
        <v>2021</v>
      </c>
      <c r="E149" s="3">
        <v>171</v>
      </c>
      <c r="F149" s="3">
        <v>8.6</v>
      </c>
      <c r="G149" s="3">
        <v>15858</v>
      </c>
      <c r="H149" s="3">
        <v>18.920000000000002</v>
      </c>
      <c r="I149" s="3" t="s">
        <v>21</v>
      </c>
    </row>
    <row r="150" spans="1:9" x14ac:dyDescent="0.25">
      <c r="A150" s="3">
        <v>176</v>
      </c>
      <c r="B150" s="3" t="s">
        <v>179</v>
      </c>
      <c r="C150" s="3" t="s">
        <v>24</v>
      </c>
      <c r="D150" s="3">
        <v>2022</v>
      </c>
      <c r="E150" s="3">
        <v>115</v>
      </c>
      <c r="F150" s="3">
        <v>8</v>
      </c>
      <c r="G150" s="3">
        <v>95414</v>
      </c>
      <c r="H150" s="3">
        <v>264.93</v>
      </c>
      <c r="I150" s="3" t="s">
        <v>19</v>
      </c>
    </row>
    <row r="151" spans="1:9" x14ac:dyDescent="0.25">
      <c r="A151" s="3">
        <v>177</v>
      </c>
      <c r="B151" s="3" t="s">
        <v>180</v>
      </c>
      <c r="C151" s="3" t="s">
        <v>16</v>
      </c>
      <c r="D151" s="3">
        <v>2002</v>
      </c>
      <c r="E151" s="3">
        <v>169</v>
      </c>
      <c r="F151" s="3">
        <v>0</v>
      </c>
      <c r="G151" s="3">
        <v>77418</v>
      </c>
      <c r="H151" s="3">
        <v>155.07</v>
      </c>
      <c r="I151" s="3" t="s">
        <v>21</v>
      </c>
    </row>
    <row r="152" spans="1:9" x14ac:dyDescent="0.25">
      <c r="A152" s="3">
        <v>178</v>
      </c>
      <c r="B152" s="3" t="s">
        <v>181</v>
      </c>
      <c r="C152" s="3" t="s">
        <v>43</v>
      </c>
      <c r="D152" s="3">
        <v>2011</v>
      </c>
      <c r="E152" s="3">
        <v>87</v>
      </c>
      <c r="F152" s="3">
        <v>3.7</v>
      </c>
      <c r="G152" s="3">
        <v>15096</v>
      </c>
      <c r="H152" s="3">
        <v>272</v>
      </c>
      <c r="I152" s="3" t="s">
        <v>21</v>
      </c>
    </row>
    <row r="153" spans="1:9" x14ac:dyDescent="0.25">
      <c r="A153" s="3">
        <v>179</v>
      </c>
      <c r="B153" s="3" t="s">
        <v>182</v>
      </c>
      <c r="C153" s="3" t="s">
        <v>13</v>
      </c>
      <c r="D153" s="3">
        <v>2015</v>
      </c>
      <c r="E153" s="3">
        <v>137</v>
      </c>
      <c r="F153" s="3">
        <v>7.4</v>
      </c>
      <c r="G153" s="3">
        <v>34072</v>
      </c>
      <c r="H153" s="3">
        <v>171.61</v>
      </c>
      <c r="I153" s="3" t="s">
        <v>19</v>
      </c>
    </row>
    <row r="154" spans="1:9" x14ac:dyDescent="0.25">
      <c r="A154" s="3">
        <v>180</v>
      </c>
      <c r="B154" s="3" t="s">
        <v>183</v>
      </c>
      <c r="C154" s="3" t="s">
        <v>43</v>
      </c>
      <c r="D154" s="3">
        <v>2018</v>
      </c>
      <c r="E154" s="3">
        <v>139</v>
      </c>
      <c r="F154" s="3">
        <v>8.6</v>
      </c>
      <c r="G154" s="3">
        <v>79257</v>
      </c>
      <c r="H154" s="3">
        <v>198.8</v>
      </c>
      <c r="I154" s="3" t="s">
        <v>21</v>
      </c>
    </row>
    <row r="155" spans="1:9" x14ac:dyDescent="0.25">
      <c r="A155" s="3">
        <v>182</v>
      </c>
      <c r="B155" s="3" t="s">
        <v>184</v>
      </c>
      <c r="C155" s="3" t="s">
        <v>16</v>
      </c>
      <c r="D155" s="3">
        <v>2021</v>
      </c>
      <c r="E155" s="3">
        <v>107</v>
      </c>
      <c r="F155" s="3">
        <v>3.4</v>
      </c>
      <c r="G155" s="3">
        <v>63697</v>
      </c>
      <c r="H155" s="3">
        <v>259.42</v>
      </c>
      <c r="I155" s="3" t="s">
        <v>17</v>
      </c>
    </row>
    <row r="156" spans="1:9" x14ac:dyDescent="0.25">
      <c r="A156" s="3">
        <v>184</v>
      </c>
      <c r="B156" s="3" t="s">
        <v>185</v>
      </c>
      <c r="C156" s="3" t="s">
        <v>24</v>
      </c>
      <c r="D156" s="3">
        <v>2004</v>
      </c>
      <c r="E156" s="3">
        <v>120</v>
      </c>
      <c r="F156" s="3">
        <v>6.4</v>
      </c>
      <c r="G156" s="3">
        <v>7583</v>
      </c>
      <c r="H156" s="3">
        <v>156.62</v>
      </c>
      <c r="I156" s="3" t="s">
        <v>11</v>
      </c>
    </row>
    <row r="157" spans="1:9" x14ac:dyDescent="0.25">
      <c r="A157" s="3">
        <v>185</v>
      </c>
      <c r="B157" s="3" t="s">
        <v>186</v>
      </c>
      <c r="C157" s="3" t="s">
        <v>24</v>
      </c>
      <c r="D157" s="3">
        <v>2014</v>
      </c>
      <c r="E157" s="3">
        <v>179</v>
      </c>
      <c r="F157" s="3">
        <v>8.1</v>
      </c>
      <c r="G157" s="3">
        <v>18271</v>
      </c>
      <c r="H157" s="3">
        <v>260.51</v>
      </c>
      <c r="I157" s="3" t="s">
        <v>19</v>
      </c>
    </row>
    <row r="158" spans="1:9" x14ac:dyDescent="0.25">
      <c r="A158" s="3">
        <v>186</v>
      </c>
      <c r="B158" s="3" t="s">
        <v>187</v>
      </c>
      <c r="C158" s="3" t="s">
        <v>10</v>
      </c>
      <c r="D158" s="3">
        <v>2016</v>
      </c>
      <c r="E158" s="3">
        <v>143</v>
      </c>
      <c r="F158" s="3">
        <v>0</v>
      </c>
      <c r="G158" s="3">
        <v>30475</v>
      </c>
      <c r="H158" s="3">
        <v>73.959999999999994</v>
      </c>
      <c r="I158" s="3" t="s">
        <v>17</v>
      </c>
    </row>
    <row r="159" spans="1:9" x14ac:dyDescent="0.25">
      <c r="A159" s="3">
        <v>187</v>
      </c>
      <c r="B159" s="3" t="s">
        <v>188</v>
      </c>
      <c r="C159" s="3" t="s">
        <v>13</v>
      </c>
      <c r="D159" s="3">
        <v>2013</v>
      </c>
      <c r="E159" s="3">
        <v>106</v>
      </c>
      <c r="F159" s="3">
        <v>7.8</v>
      </c>
      <c r="G159" s="3">
        <v>46148</v>
      </c>
      <c r="H159" s="3">
        <v>47.62</v>
      </c>
      <c r="I159" s="3" t="s">
        <v>11</v>
      </c>
    </row>
    <row r="160" spans="1:9" x14ac:dyDescent="0.25">
      <c r="A160" s="3">
        <v>188</v>
      </c>
      <c r="B160" s="3" t="s">
        <v>189</v>
      </c>
      <c r="C160" s="3" t="s">
        <v>43</v>
      </c>
      <c r="D160" s="3">
        <v>2019</v>
      </c>
      <c r="E160" s="3">
        <v>142</v>
      </c>
      <c r="F160" s="3">
        <v>0</v>
      </c>
      <c r="G160" s="3">
        <v>48785</v>
      </c>
      <c r="H160" s="3">
        <v>48.54</v>
      </c>
      <c r="I160" s="3" t="s">
        <v>21</v>
      </c>
    </row>
    <row r="161" spans="1:9" x14ac:dyDescent="0.25">
      <c r="A161" s="3">
        <v>189</v>
      </c>
      <c r="B161" s="3" t="s">
        <v>190</v>
      </c>
      <c r="C161" s="3" t="s">
        <v>43</v>
      </c>
      <c r="D161" s="3">
        <v>2004</v>
      </c>
      <c r="E161" s="3">
        <v>96</v>
      </c>
      <c r="F161" s="3">
        <v>4</v>
      </c>
      <c r="G161" s="3">
        <v>19563</v>
      </c>
      <c r="H161" s="3">
        <v>100.54</v>
      </c>
      <c r="I161" s="3" t="s">
        <v>11</v>
      </c>
    </row>
    <row r="162" spans="1:9" x14ac:dyDescent="0.25">
      <c r="A162" s="3">
        <v>191</v>
      </c>
      <c r="B162" s="3" t="s">
        <v>191</v>
      </c>
      <c r="C162" s="3" t="s">
        <v>24</v>
      </c>
      <c r="D162" s="3">
        <v>2015</v>
      </c>
      <c r="E162" s="3">
        <v>112</v>
      </c>
      <c r="F162" s="3">
        <v>0</v>
      </c>
      <c r="G162" s="3">
        <v>90593</v>
      </c>
      <c r="H162" s="3">
        <v>279.06</v>
      </c>
      <c r="I162" s="3" t="s">
        <v>17</v>
      </c>
    </row>
    <row r="163" spans="1:9" x14ac:dyDescent="0.25">
      <c r="A163" s="3">
        <v>193</v>
      </c>
      <c r="B163" s="3" t="s">
        <v>192</v>
      </c>
      <c r="C163" s="3" t="s">
        <v>10</v>
      </c>
      <c r="D163" s="3">
        <v>2020</v>
      </c>
      <c r="E163" s="3">
        <v>156</v>
      </c>
      <c r="F163" s="3">
        <v>6.1</v>
      </c>
      <c r="G163" s="3">
        <v>38099</v>
      </c>
      <c r="H163" s="3">
        <v>209.85</v>
      </c>
      <c r="I163" s="3" t="s">
        <v>19</v>
      </c>
    </row>
    <row r="164" spans="1:9" x14ac:dyDescent="0.25">
      <c r="A164" s="3">
        <v>194</v>
      </c>
      <c r="B164" s="3" t="s">
        <v>193</v>
      </c>
      <c r="C164" s="3" t="s">
        <v>24</v>
      </c>
      <c r="D164" s="3">
        <v>2006</v>
      </c>
      <c r="E164" s="3">
        <v>171</v>
      </c>
      <c r="F164" s="3">
        <v>0</v>
      </c>
      <c r="G164" s="3">
        <v>52420</v>
      </c>
      <c r="H164" s="3">
        <v>57.17</v>
      </c>
      <c r="I164" s="3" t="s">
        <v>21</v>
      </c>
    </row>
    <row r="165" spans="1:9" x14ac:dyDescent="0.25">
      <c r="A165" s="3">
        <v>196</v>
      </c>
      <c r="B165" s="3" t="s">
        <v>194</v>
      </c>
      <c r="C165" s="3" t="s">
        <v>16</v>
      </c>
      <c r="D165" s="3">
        <v>2000</v>
      </c>
      <c r="E165" s="3">
        <v>92</v>
      </c>
      <c r="F165" s="3">
        <v>0</v>
      </c>
      <c r="G165" s="3">
        <v>36454</v>
      </c>
      <c r="H165" s="3">
        <v>288.41000000000003</v>
      </c>
      <c r="I165" s="3" t="s">
        <v>21</v>
      </c>
    </row>
    <row r="166" spans="1:9" x14ac:dyDescent="0.25">
      <c r="A166" s="3">
        <v>197</v>
      </c>
      <c r="B166" s="3" t="s">
        <v>195</v>
      </c>
      <c r="C166" s="3" t="s">
        <v>16</v>
      </c>
      <c r="D166" s="3">
        <v>2004</v>
      </c>
      <c r="E166" s="3">
        <v>125</v>
      </c>
      <c r="F166" s="3">
        <v>7.9</v>
      </c>
      <c r="G166" s="3">
        <v>28356</v>
      </c>
      <c r="H166" s="3">
        <v>139.91</v>
      </c>
      <c r="I166" s="3" t="s">
        <v>11</v>
      </c>
    </row>
    <row r="167" spans="1:9" x14ac:dyDescent="0.25">
      <c r="A167" s="3">
        <v>198</v>
      </c>
      <c r="B167" s="3" t="s">
        <v>196</v>
      </c>
      <c r="C167" s="3" t="s">
        <v>43</v>
      </c>
      <c r="D167" s="3">
        <v>2022</v>
      </c>
      <c r="E167" s="3">
        <v>114</v>
      </c>
      <c r="F167" s="3">
        <v>5.6</v>
      </c>
      <c r="G167" s="3">
        <v>3073</v>
      </c>
      <c r="H167" s="3">
        <v>263.77999999999997</v>
      </c>
      <c r="I167" s="3" t="s">
        <v>11</v>
      </c>
    </row>
    <row r="168" spans="1:9" x14ac:dyDescent="0.25">
      <c r="A168" s="3">
        <v>200</v>
      </c>
      <c r="B168" s="3" t="s">
        <v>197</v>
      </c>
      <c r="C168" s="3" t="s">
        <v>10</v>
      </c>
      <c r="D168" s="3">
        <v>2021</v>
      </c>
      <c r="E168" s="3">
        <v>161</v>
      </c>
      <c r="F168" s="3">
        <v>5.8</v>
      </c>
      <c r="G168" s="3">
        <v>35867</v>
      </c>
      <c r="H168" s="3">
        <v>246.07</v>
      </c>
      <c r="I168" s="3" t="s">
        <v>30</v>
      </c>
    </row>
    <row r="169" spans="1:9" x14ac:dyDescent="0.25">
      <c r="A169" s="3">
        <v>201</v>
      </c>
      <c r="B169" s="3" t="s">
        <v>198</v>
      </c>
      <c r="C169" s="3" t="s">
        <v>24</v>
      </c>
      <c r="D169" s="3">
        <v>2004</v>
      </c>
      <c r="E169" s="3">
        <v>148</v>
      </c>
      <c r="F169" s="3">
        <v>4.8</v>
      </c>
      <c r="G169" s="3">
        <v>61274</v>
      </c>
      <c r="H169" s="3">
        <v>68.97</v>
      </c>
      <c r="I169" s="3" t="s">
        <v>19</v>
      </c>
    </row>
    <row r="170" spans="1:9" x14ac:dyDescent="0.25">
      <c r="A170" s="3">
        <v>202</v>
      </c>
      <c r="B170" s="3" t="s">
        <v>199</v>
      </c>
      <c r="C170" s="3" t="s">
        <v>16</v>
      </c>
      <c r="D170" s="3">
        <v>2003</v>
      </c>
      <c r="E170" s="3">
        <v>126</v>
      </c>
      <c r="F170" s="3">
        <v>7.5</v>
      </c>
      <c r="G170" s="3">
        <v>24252</v>
      </c>
      <c r="H170" s="3">
        <v>272.66000000000003</v>
      </c>
      <c r="I170" s="3" t="s">
        <v>11</v>
      </c>
    </row>
    <row r="171" spans="1:9" x14ac:dyDescent="0.25">
      <c r="A171" s="3">
        <v>203</v>
      </c>
      <c r="B171" s="3" t="s">
        <v>200</v>
      </c>
      <c r="C171" s="3" t="s">
        <v>43</v>
      </c>
      <c r="D171" s="3">
        <v>2001</v>
      </c>
      <c r="E171" s="3">
        <v>104</v>
      </c>
      <c r="F171" s="3">
        <v>6</v>
      </c>
      <c r="G171" s="3">
        <v>55529</v>
      </c>
      <c r="H171" s="3">
        <v>0.84</v>
      </c>
      <c r="I171" s="3" t="s">
        <v>30</v>
      </c>
    </row>
    <row r="172" spans="1:9" x14ac:dyDescent="0.25">
      <c r="A172" s="3">
        <v>204</v>
      </c>
      <c r="B172" s="3" t="s">
        <v>201</v>
      </c>
      <c r="C172" s="3" t="s">
        <v>43</v>
      </c>
      <c r="D172" s="3">
        <v>2019</v>
      </c>
      <c r="E172" s="3">
        <v>145</v>
      </c>
      <c r="F172" s="3">
        <v>4.4000000000000004</v>
      </c>
      <c r="G172" s="3">
        <v>18185</v>
      </c>
      <c r="H172" s="3">
        <v>167.08</v>
      </c>
      <c r="I172" s="3" t="s">
        <v>19</v>
      </c>
    </row>
    <row r="173" spans="1:9" x14ac:dyDescent="0.25">
      <c r="A173" s="3">
        <v>205</v>
      </c>
      <c r="B173" s="3" t="s">
        <v>202</v>
      </c>
      <c r="C173" s="3" t="s">
        <v>10</v>
      </c>
      <c r="D173" s="3">
        <v>2009</v>
      </c>
      <c r="E173" s="3">
        <v>89</v>
      </c>
      <c r="F173" s="3">
        <v>8.4</v>
      </c>
      <c r="G173" s="3">
        <v>52193</v>
      </c>
      <c r="H173" s="3">
        <v>227.11</v>
      </c>
      <c r="I173" s="3" t="s">
        <v>21</v>
      </c>
    </row>
    <row r="174" spans="1:9" x14ac:dyDescent="0.25">
      <c r="A174" s="3">
        <v>206</v>
      </c>
      <c r="B174" s="3" t="s">
        <v>203</v>
      </c>
      <c r="C174" s="3" t="s">
        <v>16</v>
      </c>
      <c r="D174" s="3">
        <v>2018</v>
      </c>
      <c r="E174" s="3">
        <v>135</v>
      </c>
      <c r="F174" s="3">
        <v>5.3</v>
      </c>
      <c r="G174" s="3">
        <v>56461</v>
      </c>
      <c r="H174" s="3">
        <v>77.98</v>
      </c>
      <c r="I174" s="3" t="s">
        <v>30</v>
      </c>
    </row>
    <row r="175" spans="1:9" x14ac:dyDescent="0.25">
      <c r="A175" s="3">
        <v>209</v>
      </c>
      <c r="B175" s="3" t="s">
        <v>204</v>
      </c>
      <c r="C175" s="3" t="s">
        <v>10</v>
      </c>
      <c r="D175" s="3">
        <v>2004</v>
      </c>
      <c r="E175" s="3">
        <v>112</v>
      </c>
      <c r="F175" s="3">
        <v>6.7</v>
      </c>
      <c r="G175" s="3">
        <v>82494</v>
      </c>
      <c r="H175" s="3">
        <v>98.27</v>
      </c>
      <c r="I175" s="3" t="s">
        <v>30</v>
      </c>
    </row>
    <row r="176" spans="1:9" x14ac:dyDescent="0.25">
      <c r="A176" s="3">
        <v>210</v>
      </c>
      <c r="B176" s="3" t="s">
        <v>205</v>
      </c>
      <c r="C176" s="3" t="s">
        <v>10</v>
      </c>
      <c r="D176" s="3">
        <v>2012</v>
      </c>
      <c r="E176" s="3">
        <v>144</v>
      </c>
      <c r="F176" s="3">
        <v>3.7</v>
      </c>
      <c r="G176" s="3">
        <v>56633</v>
      </c>
      <c r="H176" s="3">
        <v>168.17</v>
      </c>
      <c r="I176" s="3" t="s">
        <v>19</v>
      </c>
    </row>
    <row r="177" spans="1:9" x14ac:dyDescent="0.25">
      <c r="A177" s="3">
        <v>211</v>
      </c>
      <c r="B177" s="3" t="s">
        <v>206</v>
      </c>
      <c r="C177" s="3" t="s">
        <v>16</v>
      </c>
      <c r="D177" s="3">
        <v>2003</v>
      </c>
      <c r="E177" s="3">
        <v>97</v>
      </c>
      <c r="F177" s="3">
        <v>8.6</v>
      </c>
      <c r="G177" s="3">
        <v>97925</v>
      </c>
      <c r="H177" s="3">
        <v>35.200000000000003</v>
      </c>
      <c r="I177" s="3" t="s">
        <v>21</v>
      </c>
    </row>
    <row r="178" spans="1:9" x14ac:dyDescent="0.25">
      <c r="A178" s="3">
        <v>212</v>
      </c>
      <c r="B178" s="3" t="s">
        <v>207</v>
      </c>
      <c r="C178" s="3" t="s">
        <v>10</v>
      </c>
      <c r="D178" s="3">
        <v>2015</v>
      </c>
      <c r="E178" s="3">
        <v>175</v>
      </c>
      <c r="F178" s="3">
        <v>0</v>
      </c>
      <c r="G178" s="3">
        <v>61768</v>
      </c>
      <c r="H178" s="3">
        <v>113.32</v>
      </c>
      <c r="I178" s="3" t="s">
        <v>17</v>
      </c>
    </row>
    <row r="179" spans="1:9" x14ac:dyDescent="0.25">
      <c r="A179" s="3">
        <v>213</v>
      </c>
      <c r="B179" s="3" t="s">
        <v>208</v>
      </c>
      <c r="C179" s="3" t="s">
        <v>16</v>
      </c>
      <c r="D179" s="3">
        <v>2023</v>
      </c>
      <c r="E179" s="3">
        <v>128</v>
      </c>
      <c r="F179" s="3">
        <v>0</v>
      </c>
      <c r="G179" s="3">
        <v>92701</v>
      </c>
      <c r="H179" s="3">
        <v>3.22</v>
      </c>
      <c r="I179" s="3" t="s">
        <v>11</v>
      </c>
    </row>
    <row r="180" spans="1:9" x14ac:dyDescent="0.25">
      <c r="A180" s="3">
        <v>214</v>
      </c>
      <c r="B180" s="3" t="s">
        <v>209</v>
      </c>
      <c r="C180" s="3" t="s">
        <v>24</v>
      </c>
      <c r="D180" s="3">
        <v>2015</v>
      </c>
      <c r="E180" s="3">
        <v>90</v>
      </c>
      <c r="F180" s="3">
        <v>3.8</v>
      </c>
      <c r="G180" s="3">
        <v>38743</v>
      </c>
      <c r="H180" s="3">
        <v>245.69</v>
      </c>
      <c r="I180" s="3" t="s">
        <v>11</v>
      </c>
    </row>
    <row r="181" spans="1:9" x14ac:dyDescent="0.25">
      <c r="A181" s="3">
        <v>215</v>
      </c>
      <c r="B181" s="3" t="s">
        <v>210</v>
      </c>
      <c r="C181" s="3" t="s">
        <v>16</v>
      </c>
      <c r="D181" s="3">
        <v>2022</v>
      </c>
      <c r="E181" s="3">
        <v>164</v>
      </c>
      <c r="F181" s="3">
        <v>0</v>
      </c>
      <c r="G181" s="3">
        <v>57884</v>
      </c>
      <c r="H181" s="3">
        <v>38.97</v>
      </c>
      <c r="I181" s="3" t="s">
        <v>30</v>
      </c>
    </row>
    <row r="182" spans="1:9" x14ac:dyDescent="0.25">
      <c r="A182" s="3">
        <v>217</v>
      </c>
      <c r="B182" s="3" t="s">
        <v>211</v>
      </c>
      <c r="C182" s="3" t="s">
        <v>10</v>
      </c>
      <c r="D182" s="3">
        <v>2016</v>
      </c>
      <c r="E182" s="3">
        <v>142</v>
      </c>
      <c r="F182" s="3">
        <v>6.2</v>
      </c>
      <c r="G182" s="3">
        <v>27157</v>
      </c>
      <c r="H182" s="3">
        <v>6.02</v>
      </c>
      <c r="I182" s="3" t="s">
        <v>19</v>
      </c>
    </row>
    <row r="183" spans="1:9" x14ac:dyDescent="0.25">
      <c r="A183" s="3">
        <v>218</v>
      </c>
      <c r="B183" s="3" t="s">
        <v>212</v>
      </c>
      <c r="C183" s="3" t="s">
        <v>10</v>
      </c>
      <c r="D183" s="3">
        <v>2019</v>
      </c>
      <c r="E183" s="3">
        <v>168</v>
      </c>
      <c r="F183" s="3">
        <v>8.4</v>
      </c>
      <c r="G183" s="3">
        <v>40452</v>
      </c>
      <c r="H183" s="3">
        <v>129.96</v>
      </c>
      <c r="I183" s="3" t="s">
        <v>11</v>
      </c>
    </row>
    <row r="184" spans="1:9" x14ac:dyDescent="0.25">
      <c r="A184" s="3">
        <v>219</v>
      </c>
      <c r="B184" s="3" t="s">
        <v>213</v>
      </c>
      <c r="C184" s="3" t="s">
        <v>43</v>
      </c>
      <c r="D184" s="3">
        <v>2023</v>
      </c>
      <c r="E184" s="3">
        <v>165</v>
      </c>
      <c r="F184" s="3">
        <v>7.7</v>
      </c>
      <c r="G184" s="3">
        <v>22680</v>
      </c>
      <c r="H184" s="3">
        <v>252.12</v>
      </c>
      <c r="I184" s="3" t="s">
        <v>17</v>
      </c>
    </row>
    <row r="185" spans="1:9" x14ac:dyDescent="0.25">
      <c r="A185" s="3">
        <v>220</v>
      </c>
      <c r="B185" s="3" t="s">
        <v>214</v>
      </c>
      <c r="C185" s="3" t="s">
        <v>43</v>
      </c>
      <c r="D185" s="3">
        <v>2011</v>
      </c>
      <c r="E185" s="3">
        <v>138</v>
      </c>
      <c r="F185" s="3">
        <v>3.9</v>
      </c>
      <c r="G185" s="3">
        <v>97932</v>
      </c>
      <c r="H185" s="3">
        <v>117.95</v>
      </c>
      <c r="I185" s="3" t="s">
        <v>21</v>
      </c>
    </row>
    <row r="186" spans="1:9" x14ac:dyDescent="0.25">
      <c r="A186" s="3">
        <v>221</v>
      </c>
      <c r="B186" s="3" t="s">
        <v>215</v>
      </c>
      <c r="C186" s="3" t="s">
        <v>24</v>
      </c>
      <c r="D186" s="3">
        <v>2017</v>
      </c>
      <c r="E186" s="3">
        <v>106</v>
      </c>
      <c r="F186" s="3">
        <v>4.9000000000000004</v>
      </c>
      <c r="G186" s="3">
        <v>78911</v>
      </c>
      <c r="H186" s="3">
        <v>54.26</v>
      </c>
      <c r="I186" s="3" t="s">
        <v>17</v>
      </c>
    </row>
    <row r="187" spans="1:9" x14ac:dyDescent="0.25">
      <c r="A187" s="3">
        <v>222</v>
      </c>
      <c r="B187" s="3" t="s">
        <v>216</v>
      </c>
      <c r="C187" s="3" t="s">
        <v>43</v>
      </c>
      <c r="D187" s="3">
        <v>2002</v>
      </c>
      <c r="E187" s="3">
        <v>128</v>
      </c>
      <c r="F187" s="3">
        <v>4.5</v>
      </c>
      <c r="G187" s="3">
        <v>2122</v>
      </c>
      <c r="H187" s="3">
        <v>226.23</v>
      </c>
      <c r="I187" s="3" t="s">
        <v>21</v>
      </c>
    </row>
    <row r="188" spans="1:9" x14ac:dyDescent="0.25">
      <c r="A188" s="3">
        <v>223</v>
      </c>
      <c r="B188" s="3" t="s">
        <v>217</v>
      </c>
      <c r="C188" s="3" t="s">
        <v>16</v>
      </c>
      <c r="D188" s="3">
        <v>2000</v>
      </c>
      <c r="E188" s="3">
        <v>156</v>
      </c>
      <c r="F188" s="3">
        <v>7.5</v>
      </c>
      <c r="G188" s="3">
        <v>49256</v>
      </c>
      <c r="H188" s="3">
        <v>236.75</v>
      </c>
      <c r="I188" s="3" t="s">
        <v>11</v>
      </c>
    </row>
    <row r="189" spans="1:9" x14ac:dyDescent="0.25">
      <c r="A189" s="3">
        <v>224</v>
      </c>
      <c r="B189" s="3" t="s">
        <v>218</v>
      </c>
      <c r="C189" s="3" t="s">
        <v>10</v>
      </c>
      <c r="D189" s="3">
        <v>2000</v>
      </c>
      <c r="E189" s="3">
        <v>112</v>
      </c>
      <c r="F189" s="3">
        <v>3.2</v>
      </c>
      <c r="G189" s="3">
        <v>41309</v>
      </c>
      <c r="H189" s="3">
        <v>52.54</v>
      </c>
      <c r="I189" s="3" t="s">
        <v>21</v>
      </c>
    </row>
    <row r="190" spans="1:9" x14ac:dyDescent="0.25">
      <c r="A190" s="3">
        <v>225</v>
      </c>
      <c r="B190" s="3" t="s">
        <v>219</v>
      </c>
      <c r="C190" s="3" t="s">
        <v>43</v>
      </c>
      <c r="D190" s="3">
        <v>2018</v>
      </c>
      <c r="E190" s="3">
        <v>177</v>
      </c>
      <c r="F190" s="3">
        <v>0</v>
      </c>
      <c r="G190" s="3">
        <v>17225</v>
      </c>
      <c r="H190" s="3">
        <v>231.37</v>
      </c>
      <c r="I190" s="3" t="s">
        <v>19</v>
      </c>
    </row>
    <row r="191" spans="1:9" x14ac:dyDescent="0.25">
      <c r="A191" s="3">
        <v>226</v>
      </c>
      <c r="B191" s="3" t="s">
        <v>220</v>
      </c>
      <c r="C191" s="3" t="s">
        <v>43</v>
      </c>
      <c r="D191" s="3">
        <v>2010</v>
      </c>
      <c r="E191" s="3">
        <v>178</v>
      </c>
      <c r="F191" s="3">
        <v>7.6</v>
      </c>
      <c r="G191" s="3">
        <v>61896</v>
      </c>
      <c r="H191" s="3">
        <v>284.22000000000003</v>
      </c>
      <c r="I191" s="3" t="s">
        <v>30</v>
      </c>
    </row>
    <row r="192" spans="1:9" x14ac:dyDescent="0.25">
      <c r="A192" s="3">
        <v>227</v>
      </c>
      <c r="B192" s="3" t="s">
        <v>221</v>
      </c>
      <c r="C192" s="3" t="s">
        <v>24</v>
      </c>
      <c r="D192" s="3">
        <v>2004</v>
      </c>
      <c r="E192" s="3">
        <v>80</v>
      </c>
      <c r="F192" s="3">
        <v>0</v>
      </c>
      <c r="G192" s="3">
        <v>51726</v>
      </c>
      <c r="H192" s="3">
        <v>50.33</v>
      </c>
      <c r="I192" s="3" t="s">
        <v>30</v>
      </c>
    </row>
    <row r="193" spans="1:9" x14ac:dyDescent="0.25">
      <c r="A193" s="3">
        <v>228</v>
      </c>
      <c r="B193" s="3" t="s">
        <v>222</v>
      </c>
      <c r="C193" s="3" t="s">
        <v>24</v>
      </c>
      <c r="D193" s="3">
        <v>2011</v>
      </c>
      <c r="E193" s="3">
        <v>100</v>
      </c>
      <c r="F193" s="3">
        <v>5.0999999999999996</v>
      </c>
      <c r="G193" s="3">
        <v>81682</v>
      </c>
      <c r="H193" s="3">
        <v>231.41</v>
      </c>
      <c r="I193" s="3" t="s">
        <v>11</v>
      </c>
    </row>
    <row r="194" spans="1:9" x14ac:dyDescent="0.25">
      <c r="A194" s="3">
        <v>229</v>
      </c>
      <c r="B194" s="3" t="s">
        <v>223</v>
      </c>
      <c r="C194" s="3" t="s">
        <v>16</v>
      </c>
      <c r="D194" s="3">
        <v>2002</v>
      </c>
      <c r="E194" s="3">
        <v>134</v>
      </c>
      <c r="F194" s="3">
        <v>7.9</v>
      </c>
      <c r="G194" s="3">
        <v>83065</v>
      </c>
      <c r="H194" s="3">
        <v>212.72</v>
      </c>
      <c r="I194" s="3" t="s">
        <v>19</v>
      </c>
    </row>
    <row r="195" spans="1:9" x14ac:dyDescent="0.25">
      <c r="A195" s="3">
        <v>230</v>
      </c>
      <c r="B195" s="3" t="s">
        <v>224</v>
      </c>
      <c r="C195" s="3" t="s">
        <v>10</v>
      </c>
      <c r="D195" s="3">
        <v>2000</v>
      </c>
      <c r="E195" s="3">
        <v>85</v>
      </c>
      <c r="F195" s="3">
        <v>0</v>
      </c>
      <c r="G195" s="3">
        <v>29902</v>
      </c>
      <c r="H195" s="3">
        <v>142.34</v>
      </c>
      <c r="I195" s="3" t="s">
        <v>17</v>
      </c>
    </row>
    <row r="196" spans="1:9" x14ac:dyDescent="0.25">
      <c r="A196" s="3">
        <v>231</v>
      </c>
      <c r="B196" s="3" t="s">
        <v>225</v>
      </c>
      <c r="C196" s="3" t="s">
        <v>24</v>
      </c>
      <c r="D196" s="3">
        <v>2000</v>
      </c>
      <c r="E196" s="3">
        <v>171</v>
      </c>
      <c r="F196" s="3">
        <v>8.1</v>
      </c>
      <c r="G196" s="3">
        <v>4763</v>
      </c>
      <c r="H196" s="3">
        <v>17.850000000000001</v>
      </c>
      <c r="I196" s="3" t="s">
        <v>19</v>
      </c>
    </row>
    <row r="197" spans="1:9" x14ac:dyDescent="0.25">
      <c r="A197" s="3">
        <v>232</v>
      </c>
      <c r="B197" s="3" t="s">
        <v>226</v>
      </c>
      <c r="C197" s="3" t="s">
        <v>43</v>
      </c>
      <c r="D197" s="3">
        <v>2007</v>
      </c>
      <c r="E197" s="3">
        <v>160</v>
      </c>
      <c r="F197" s="3">
        <v>3.8</v>
      </c>
      <c r="G197" s="3">
        <v>97023</v>
      </c>
      <c r="H197" s="3">
        <v>22.87</v>
      </c>
      <c r="I197" s="3" t="s">
        <v>30</v>
      </c>
    </row>
    <row r="198" spans="1:9" x14ac:dyDescent="0.25">
      <c r="A198" s="3">
        <v>233</v>
      </c>
      <c r="B198" s="3" t="s">
        <v>227</v>
      </c>
      <c r="C198" s="3" t="s">
        <v>10</v>
      </c>
      <c r="D198" s="3">
        <v>2009</v>
      </c>
      <c r="E198" s="3">
        <v>148</v>
      </c>
      <c r="F198" s="3">
        <v>5.4</v>
      </c>
      <c r="G198" s="3">
        <v>47328</v>
      </c>
      <c r="H198" s="3">
        <v>255.8</v>
      </c>
      <c r="I198" s="3" t="s">
        <v>30</v>
      </c>
    </row>
    <row r="199" spans="1:9" x14ac:dyDescent="0.25">
      <c r="A199" s="3">
        <v>234</v>
      </c>
      <c r="B199" s="3" t="s">
        <v>228</v>
      </c>
      <c r="C199" s="3" t="s">
        <v>10</v>
      </c>
      <c r="D199" s="3">
        <v>2010</v>
      </c>
      <c r="E199" s="3">
        <v>174</v>
      </c>
      <c r="F199" s="3">
        <v>7.8</v>
      </c>
      <c r="G199" s="3">
        <v>48424</v>
      </c>
      <c r="H199" s="3">
        <v>297.05</v>
      </c>
      <c r="I199" s="3" t="s">
        <v>19</v>
      </c>
    </row>
    <row r="200" spans="1:9" x14ac:dyDescent="0.25">
      <c r="A200" s="3">
        <v>235</v>
      </c>
      <c r="B200" s="3" t="s">
        <v>229</v>
      </c>
      <c r="C200" s="3" t="s">
        <v>43</v>
      </c>
      <c r="D200" s="3">
        <v>2011</v>
      </c>
      <c r="E200" s="3">
        <v>84</v>
      </c>
      <c r="F200" s="3">
        <v>0</v>
      </c>
      <c r="G200" s="3">
        <v>74682</v>
      </c>
      <c r="H200" s="3">
        <v>202.98</v>
      </c>
      <c r="I200" s="3" t="s">
        <v>19</v>
      </c>
    </row>
    <row r="201" spans="1:9" x14ac:dyDescent="0.25">
      <c r="A201" s="3">
        <v>236</v>
      </c>
      <c r="B201" s="3" t="s">
        <v>230</v>
      </c>
      <c r="C201" s="3" t="s">
        <v>24</v>
      </c>
      <c r="D201" s="3">
        <v>2012</v>
      </c>
      <c r="E201" s="3">
        <v>82</v>
      </c>
      <c r="F201" s="3">
        <v>4.4000000000000004</v>
      </c>
      <c r="G201" s="3">
        <v>93565</v>
      </c>
      <c r="H201" s="3">
        <v>134.06</v>
      </c>
      <c r="I201" s="3" t="s">
        <v>30</v>
      </c>
    </row>
    <row r="202" spans="1:9" x14ac:dyDescent="0.25">
      <c r="A202" s="3">
        <v>238</v>
      </c>
      <c r="B202" s="3" t="s">
        <v>231</v>
      </c>
      <c r="C202" s="3" t="s">
        <v>10</v>
      </c>
      <c r="D202" s="3">
        <v>2013</v>
      </c>
      <c r="E202" s="3">
        <v>102</v>
      </c>
      <c r="F202" s="3">
        <v>0</v>
      </c>
      <c r="G202" s="3">
        <v>12164</v>
      </c>
      <c r="H202" s="3">
        <v>178.52</v>
      </c>
      <c r="I202" s="3" t="s">
        <v>11</v>
      </c>
    </row>
    <row r="203" spans="1:9" x14ac:dyDescent="0.25">
      <c r="A203" s="3">
        <v>239</v>
      </c>
      <c r="B203" s="3" t="s">
        <v>232</v>
      </c>
      <c r="C203" s="3" t="s">
        <v>13</v>
      </c>
      <c r="D203" s="3">
        <v>2001</v>
      </c>
      <c r="E203" s="3">
        <v>132</v>
      </c>
      <c r="F203" s="3">
        <v>6.8</v>
      </c>
      <c r="G203" s="3">
        <v>36237</v>
      </c>
      <c r="H203" s="3">
        <v>115.39</v>
      </c>
      <c r="I203" s="3" t="s">
        <v>11</v>
      </c>
    </row>
    <row r="204" spans="1:9" x14ac:dyDescent="0.25">
      <c r="A204" s="3">
        <v>240</v>
      </c>
      <c r="B204" s="3" t="s">
        <v>233</v>
      </c>
      <c r="C204" s="3" t="s">
        <v>13</v>
      </c>
      <c r="D204" s="3">
        <v>2018</v>
      </c>
      <c r="E204" s="3">
        <v>116</v>
      </c>
      <c r="F204" s="3">
        <v>7.2</v>
      </c>
      <c r="G204" s="3">
        <v>90063</v>
      </c>
      <c r="H204" s="3">
        <v>20.16</v>
      </c>
      <c r="I204" s="3" t="s">
        <v>19</v>
      </c>
    </row>
    <row r="205" spans="1:9" x14ac:dyDescent="0.25">
      <c r="A205" s="3">
        <v>241</v>
      </c>
      <c r="B205" s="3" t="s">
        <v>234</v>
      </c>
      <c r="C205" s="3" t="s">
        <v>16</v>
      </c>
      <c r="D205" s="3">
        <v>2017</v>
      </c>
      <c r="E205" s="3">
        <v>153</v>
      </c>
      <c r="F205" s="3">
        <v>6.3</v>
      </c>
      <c r="G205" s="3">
        <v>29873</v>
      </c>
      <c r="H205" s="3">
        <v>246.54</v>
      </c>
      <c r="I205" s="3" t="s">
        <v>11</v>
      </c>
    </row>
    <row r="206" spans="1:9" x14ac:dyDescent="0.25">
      <c r="A206" s="3">
        <v>242</v>
      </c>
      <c r="B206" s="3" t="s">
        <v>235</v>
      </c>
      <c r="C206" s="3" t="s">
        <v>43</v>
      </c>
      <c r="D206" s="3">
        <v>2002</v>
      </c>
      <c r="E206" s="3">
        <v>153</v>
      </c>
      <c r="F206" s="3">
        <v>4.5</v>
      </c>
      <c r="G206" s="3">
        <v>36897</v>
      </c>
      <c r="H206" s="3">
        <v>111.86</v>
      </c>
      <c r="I206" s="3" t="s">
        <v>30</v>
      </c>
    </row>
    <row r="207" spans="1:9" x14ac:dyDescent="0.25">
      <c r="A207" s="3">
        <v>243</v>
      </c>
      <c r="B207" s="3" t="s">
        <v>236</v>
      </c>
      <c r="C207" s="3" t="s">
        <v>43</v>
      </c>
      <c r="D207" s="3">
        <v>2022</v>
      </c>
      <c r="E207" s="3">
        <v>162</v>
      </c>
      <c r="F207" s="3">
        <v>5.0999999999999996</v>
      </c>
      <c r="G207" s="3">
        <v>86645</v>
      </c>
      <c r="H207" s="3">
        <v>245.73</v>
      </c>
      <c r="I207" s="3" t="s">
        <v>30</v>
      </c>
    </row>
    <row r="208" spans="1:9" x14ac:dyDescent="0.25">
      <c r="A208" s="3">
        <v>244</v>
      </c>
      <c r="B208" s="3" t="s">
        <v>237</v>
      </c>
      <c r="C208" s="3" t="s">
        <v>16</v>
      </c>
      <c r="D208" s="3">
        <v>2016</v>
      </c>
      <c r="E208" s="3">
        <v>96</v>
      </c>
      <c r="F208" s="3">
        <v>4.0999999999999996</v>
      </c>
      <c r="G208" s="3">
        <v>39209</v>
      </c>
      <c r="H208" s="3">
        <v>76.13</v>
      </c>
      <c r="I208" s="3" t="s">
        <v>19</v>
      </c>
    </row>
    <row r="209" spans="1:9" x14ac:dyDescent="0.25">
      <c r="A209" s="3">
        <v>245</v>
      </c>
      <c r="B209" s="3" t="s">
        <v>238</v>
      </c>
      <c r="C209" s="3" t="s">
        <v>16</v>
      </c>
      <c r="D209" s="3">
        <v>2007</v>
      </c>
      <c r="E209" s="3">
        <v>164</v>
      </c>
      <c r="F209" s="3">
        <v>8.5</v>
      </c>
      <c r="G209" s="3">
        <v>61620</v>
      </c>
      <c r="H209" s="3">
        <v>0.81</v>
      </c>
      <c r="I209" s="3" t="s">
        <v>19</v>
      </c>
    </row>
    <row r="210" spans="1:9" x14ac:dyDescent="0.25">
      <c r="A210" s="3">
        <v>246</v>
      </c>
      <c r="B210" s="3" t="s">
        <v>239</v>
      </c>
      <c r="C210" s="3" t="s">
        <v>16</v>
      </c>
      <c r="D210" s="3">
        <v>2009</v>
      </c>
      <c r="E210" s="3">
        <v>157</v>
      </c>
      <c r="F210" s="3">
        <v>6.5</v>
      </c>
      <c r="G210" s="3">
        <v>19750</v>
      </c>
      <c r="H210" s="3">
        <v>48.1</v>
      </c>
      <c r="I210" s="3" t="s">
        <v>19</v>
      </c>
    </row>
    <row r="211" spans="1:9" x14ac:dyDescent="0.25">
      <c r="A211" s="3">
        <v>247</v>
      </c>
      <c r="B211" s="3" t="s">
        <v>240</v>
      </c>
      <c r="C211" s="3" t="s">
        <v>10</v>
      </c>
      <c r="D211" s="3">
        <v>2001</v>
      </c>
      <c r="E211" s="3">
        <v>152</v>
      </c>
      <c r="F211" s="3">
        <v>5.4</v>
      </c>
      <c r="G211" s="3">
        <v>21672</v>
      </c>
      <c r="H211" s="3">
        <v>140.83000000000001</v>
      </c>
      <c r="I211" s="3" t="s">
        <v>17</v>
      </c>
    </row>
    <row r="212" spans="1:9" x14ac:dyDescent="0.25">
      <c r="A212" s="3">
        <v>248</v>
      </c>
      <c r="B212" s="3" t="s">
        <v>241</v>
      </c>
      <c r="C212" s="3" t="s">
        <v>43</v>
      </c>
      <c r="D212" s="3">
        <v>2018</v>
      </c>
      <c r="E212" s="3">
        <v>80</v>
      </c>
      <c r="F212" s="3">
        <v>5.8</v>
      </c>
      <c r="G212" s="3">
        <v>12055</v>
      </c>
      <c r="H212" s="3">
        <v>283.32</v>
      </c>
      <c r="I212" s="3" t="s">
        <v>11</v>
      </c>
    </row>
    <row r="213" spans="1:9" x14ac:dyDescent="0.25">
      <c r="A213" s="3">
        <v>249</v>
      </c>
      <c r="B213" s="3" t="s">
        <v>242</v>
      </c>
      <c r="C213" s="3" t="s">
        <v>10</v>
      </c>
      <c r="D213" s="3">
        <v>2008</v>
      </c>
      <c r="E213" s="3">
        <v>130</v>
      </c>
      <c r="F213" s="3">
        <v>0</v>
      </c>
      <c r="G213" s="3">
        <v>87910</v>
      </c>
      <c r="H213" s="3">
        <v>31.11</v>
      </c>
      <c r="I213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2026-07-09T12:18:09Z</dcterms:created>
  <dcterms:modified xsi:type="dcterms:W3CDTF">2026-07-09T12:18:24Z</dcterms:modified>
</cp:coreProperties>
</file>